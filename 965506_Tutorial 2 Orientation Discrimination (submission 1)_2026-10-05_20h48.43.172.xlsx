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4F309C0CF387C/Documents/"/>
    </mc:Choice>
  </mc:AlternateContent>
  <xr:revisionPtr revIDLastSave="0" documentId="8_{5C161250-2E99-4B31-BA1C-2509578B8D92}" xr6:coauthVersionLast="47" xr6:coauthVersionMax="47" xr10:uidLastSave="{00000000-0000-0000-0000-000000000000}"/>
  <bookViews>
    <workbookView xWindow="-110" yWindow="-110" windowWidth="19420" windowHeight="10300" firstSheet="1" activeTab="1" xr2:uid="{494CFF02-7CAD-4236-A76C-3AE14757DA3B}"/>
  </bookViews>
  <sheets>
    <sheet name="965506_Tutorial 2 Signal Detect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U3" i="2" l="1"/>
  <c r="U2" i="2"/>
  <c r="U9" i="2" s="1"/>
  <c r="L102" i="2"/>
  <c r="K102" i="2"/>
  <c r="J102" i="2"/>
  <c r="I102" i="2"/>
  <c r="U8" i="2" l="1"/>
</calcChain>
</file>

<file path=xl/sharedStrings.xml><?xml version="1.0" encoding="utf-8"?>
<sst xmlns="http://schemas.openxmlformats.org/spreadsheetml/2006/main" count="963" uniqueCount="62">
  <si>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</si>
  <si>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</si>
  <si>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</si>
  <si>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</si>
  <si>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</si>
  <si>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</si>
  <si>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</si>
  <si>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</si>
  <si>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</si>
  <si>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</si>
  <si>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</si>
  <si>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</si>
  <si>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</si>
  <si>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</si>
  <si>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</si>
  <si>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</si>
  <si>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</si>
  <si>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fixation.stopped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</si>
  <si>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</si>
  <si>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</si>
  <si>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</si>
  <si>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</si>
  <si>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</si>
  <si>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</si>
  <si>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</si>
  <si>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</si>
  <si>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</si>
  <si>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</si>
  <si>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</si>
  <si>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</si>
  <si>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</si>
  <si>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</si>
  <si>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</si>
  <si>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</si>
  <si>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</si>
  <si>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2026-10-05_20h49.32.339</t>
  </si>
  <si>
    <t>Tutorial 2 Orientation Discrimination (submission)</t>
  </si>
  <si>
    <t>2026.2.4</t>
  </si>
  <si>
    <t>2026-10-05 20h49.32.361270 +0530</t>
  </si>
  <si>
    <t>up</t>
  </si>
  <si>
    <t>Hit</t>
  </si>
  <si>
    <t>Miss</t>
  </si>
  <si>
    <t>False Alarm</t>
  </si>
  <si>
    <t>Correct Rejection</t>
  </si>
  <si>
    <t>trails</t>
  </si>
  <si>
    <t xml:space="preserve">Signal Present </t>
  </si>
  <si>
    <t xml:space="preserve">signal absent </t>
  </si>
  <si>
    <t>respond YES</t>
  </si>
  <si>
    <t>respond NO</t>
  </si>
  <si>
    <t>miss</t>
  </si>
  <si>
    <t xml:space="preserve">correct rejection </t>
  </si>
  <si>
    <t>hit</t>
  </si>
  <si>
    <t>false alarm</t>
  </si>
  <si>
    <t xml:space="preserve">respond Yes </t>
  </si>
  <si>
    <t xml:space="preserve">signal present </t>
  </si>
  <si>
    <t>proportion hit = hit/hit+miss</t>
  </si>
  <si>
    <t xml:space="preserve">proportion fa = fa/fa+correct rejection </t>
  </si>
  <si>
    <t>d-prime = z(proportion hit) - z (proportion fa)</t>
  </si>
  <si>
    <t>c = -z(proportion hit) + z(proportion fa)/2</t>
  </si>
  <si>
    <t>Measures</t>
  </si>
  <si>
    <t>correct rejection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</si>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</sst>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3979B-B0BA-4BDF-86A5-B8FF0DB700A0}" name="Table1" displayName="Table1" ref="W1:X5" totalsRowShown="0" headerRowDxfId="0">
  <autoFilter ref="W1:X5" xr:uid="{46A3979B-B0BA-4BDF-86A5-B8FF0DB700A0}"/>
  <tableColumns count="2">
    <tableColumn id="1" xr3:uid="{E0266CF3-49C4-4F8C-A2C1-6D8DC3E9E84A}" name="Measures"/>
    <tableColumn id="2" xr3:uid="{BAC5FB52-642A-47F4-ABF8-0975D41A364B}" name="Valu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A165-6504-4786-894A-B87117452C20}">
  <dimension ref="A1:AG101"/>
  <sheetViews>
    <sheetView topLeftCell="H5" workbookViewId="0">
      <selection activeCell="H11" sqref="H11"/>
    </sheetView>
  </sheetViews>
  <sheetFormatPr defaultRowHeight="14.5" x14ac:dyDescent="0.35"/>
  <cols>
    <col min="4" max="4" width="26.1796875" customWidth="1"/>
    <col min="5" max="5" width="22.26953125" customWidth="1"/>
    <col min="8" max="8" width="22.5429687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0</v>
      </c>
      <c r="B2">
        <v>0</v>
      </c>
      <c r="C2">
        <v>0</v>
      </c>
      <c r="D2" t="s">
        <v>33</v>
      </c>
      <c r="E2">
        <v>1</v>
      </c>
      <c r="F2">
        <v>0.66563450009561997</v>
      </c>
      <c r="G2" t="s">
        <v>34</v>
      </c>
      <c r="H2">
        <v>4</v>
      </c>
      <c r="I2">
        <v>0</v>
      </c>
      <c r="J2">
        <v>0</v>
      </c>
      <c r="K2">
        <v>0</v>
      </c>
      <c r="L2">
        <v>0</v>
      </c>
      <c r="M2">
        <v>5.4558000992983502E-3</v>
      </c>
      <c r="O2" t="b">
        <v>0</v>
      </c>
      <c r="P2">
        <v>2.7285001706331899E-3</v>
      </c>
      <c r="Q2">
        <v>5.4558000992983502E-3</v>
      </c>
      <c r="R2">
        <v>1.0056616000365399</v>
      </c>
      <c r="S2">
        <v>1.0056616000365399</v>
      </c>
      <c r="T2">
        <v>1.67259560013189</v>
      </c>
      <c r="U2" t="s">
        <v>33</v>
      </c>
      <c r="V2">
        <v>1</v>
      </c>
      <c r="W2">
        <v>0.66563450009561997</v>
      </c>
      <c r="X2" t="s">
        <v>34</v>
      </c>
      <c r="Y2">
        <v>4</v>
      </c>
      <c r="Z2">
        <v>965506</v>
      </c>
      <c r="AA2">
        <v>1</v>
      </c>
      <c r="AB2" t="s">
        <v>35</v>
      </c>
      <c r="AC2" t="s">
        <v>36</v>
      </c>
      <c r="AE2" t="s">
        <v>37</v>
      </c>
      <c r="AF2">
        <v>59.886909563351601</v>
      </c>
      <c r="AG2" t="s">
        <v>38</v>
      </c>
    </row>
    <row r="3" spans="1:33" x14ac:dyDescent="0.35">
      <c r="A3">
        <v>1</v>
      </c>
      <c r="B3">
        <v>0</v>
      </c>
      <c r="C3">
        <v>1</v>
      </c>
      <c r="D3" t="s">
        <v>39</v>
      </c>
      <c r="E3">
        <v>1</v>
      </c>
      <c r="F3">
        <v>0.55797900003380996</v>
      </c>
      <c r="G3" t="s">
        <v>34</v>
      </c>
      <c r="H3">
        <v>0</v>
      </c>
      <c r="I3">
        <v>1</v>
      </c>
      <c r="J3">
        <v>0</v>
      </c>
      <c r="K3">
        <v>1</v>
      </c>
      <c r="L3">
        <v>0</v>
      </c>
      <c r="M3">
        <v>1.6887193999718799</v>
      </c>
      <c r="P3">
        <v>1.67293210001662</v>
      </c>
      <c r="Q3">
        <v>1.6887193999718799</v>
      </c>
      <c r="R3">
        <v>2.6887893001548901</v>
      </c>
      <c r="S3">
        <v>2.6722066001966498</v>
      </c>
      <c r="T3">
        <v>3.2394505001138798</v>
      </c>
      <c r="U3" t="s">
        <v>39</v>
      </c>
      <c r="V3">
        <v>1</v>
      </c>
      <c r="W3">
        <v>0.55797900003380996</v>
      </c>
      <c r="X3" t="s">
        <v>34</v>
      </c>
      <c r="Y3">
        <v>0</v>
      </c>
      <c r="Z3">
        <v>965506</v>
      </c>
      <c r="AA3">
        <v>1</v>
      </c>
      <c r="AB3" t="s">
        <v>35</v>
      </c>
      <c r="AC3" t="s">
        <v>36</v>
      </c>
      <c r="AE3" t="s">
        <v>37</v>
      </c>
      <c r="AF3">
        <v>59.886909563351601</v>
      </c>
      <c r="AG3" t="s">
        <v>38</v>
      </c>
    </row>
    <row r="4" spans="1:33" x14ac:dyDescent="0.35">
      <c r="A4">
        <v>2</v>
      </c>
      <c r="B4">
        <v>0</v>
      </c>
      <c r="C4">
        <v>2</v>
      </c>
      <c r="D4" t="s">
        <v>39</v>
      </c>
      <c r="E4">
        <v>1</v>
      </c>
      <c r="F4">
        <v>0.21570659987628399</v>
      </c>
      <c r="G4" t="s">
        <v>34</v>
      </c>
      <c r="H4">
        <v>0</v>
      </c>
      <c r="I4">
        <v>2</v>
      </c>
      <c r="J4">
        <v>0</v>
      </c>
      <c r="K4">
        <v>2</v>
      </c>
      <c r="L4">
        <v>0</v>
      </c>
      <c r="M4">
        <v>3.2549492001999099</v>
      </c>
      <c r="P4">
        <v>3.2399101001210502</v>
      </c>
      <c r="Q4">
        <v>3.2549492001999099</v>
      </c>
      <c r="R4">
        <v>4.2552394000813303</v>
      </c>
      <c r="S4">
        <v>4.2384469001553899</v>
      </c>
      <c r="T4">
        <v>4.4554916000924996</v>
      </c>
      <c r="U4" t="s">
        <v>39</v>
      </c>
      <c r="V4">
        <v>1</v>
      </c>
      <c r="W4">
        <v>0.21570659987628399</v>
      </c>
      <c r="X4" t="s">
        <v>34</v>
      </c>
      <c r="Y4">
        <v>0</v>
      </c>
      <c r="Z4">
        <v>965506</v>
      </c>
      <c r="AA4">
        <v>1</v>
      </c>
      <c r="AB4" t="s">
        <v>35</v>
      </c>
      <c r="AC4" t="s">
        <v>36</v>
      </c>
      <c r="AE4" t="s">
        <v>37</v>
      </c>
      <c r="AF4">
        <v>59.886909563351601</v>
      </c>
      <c r="AG4" t="s">
        <v>38</v>
      </c>
    </row>
    <row r="5" spans="1:33" x14ac:dyDescent="0.35">
      <c r="A5">
        <v>3</v>
      </c>
      <c r="B5">
        <v>0</v>
      </c>
      <c r="C5">
        <v>3</v>
      </c>
      <c r="D5" t="s">
        <v>39</v>
      </c>
      <c r="E5">
        <v>1</v>
      </c>
      <c r="F5">
        <v>0.52232829993590701</v>
      </c>
      <c r="G5" t="s">
        <v>34</v>
      </c>
      <c r="H5">
        <v>0</v>
      </c>
      <c r="I5">
        <v>3</v>
      </c>
      <c r="J5">
        <v>0</v>
      </c>
      <c r="K5">
        <v>3</v>
      </c>
      <c r="L5">
        <v>0</v>
      </c>
      <c r="M5">
        <v>4.4716186001896796</v>
      </c>
      <c r="P5">
        <v>4.4558953000232497</v>
      </c>
      <c r="Q5">
        <v>4.4716186001896796</v>
      </c>
      <c r="R5">
        <v>5.4717869001906303</v>
      </c>
      <c r="S5">
        <v>5.4554545001592398</v>
      </c>
      <c r="T5">
        <v>5.9891102002002299</v>
      </c>
      <c r="U5" t="s">
        <v>39</v>
      </c>
      <c r="V5">
        <v>1</v>
      </c>
      <c r="W5">
        <v>0.52232829993590701</v>
      </c>
      <c r="X5" t="s">
        <v>34</v>
      </c>
      <c r="Y5">
        <v>0</v>
      </c>
      <c r="Z5">
        <v>965506</v>
      </c>
      <c r="AA5">
        <v>1</v>
      </c>
      <c r="AB5" t="s">
        <v>35</v>
      </c>
      <c r="AC5" t="s">
        <v>36</v>
      </c>
      <c r="AE5" t="s">
        <v>37</v>
      </c>
      <c r="AF5">
        <v>59.886909563351601</v>
      </c>
      <c r="AG5" t="s">
        <v>38</v>
      </c>
    </row>
    <row r="6" spans="1:33" x14ac:dyDescent="0.35">
      <c r="A6">
        <v>4</v>
      </c>
      <c r="B6">
        <v>0</v>
      </c>
      <c r="C6">
        <v>4</v>
      </c>
      <c r="D6" t="s">
        <v>39</v>
      </c>
      <c r="E6">
        <v>0</v>
      </c>
      <c r="F6">
        <v>1.4979552999138801</v>
      </c>
      <c r="G6" t="s">
        <v>34</v>
      </c>
      <c r="H6">
        <v>-5</v>
      </c>
      <c r="I6">
        <v>4</v>
      </c>
      <c r="J6">
        <v>0</v>
      </c>
      <c r="K6">
        <v>4</v>
      </c>
      <c r="L6">
        <v>0</v>
      </c>
      <c r="M6">
        <v>6.0049114001449198</v>
      </c>
      <c r="P6">
        <v>5.9895636001601797</v>
      </c>
      <c r="Q6">
        <v>6.0049114001449198</v>
      </c>
      <c r="R6">
        <v>7.0053779000881997</v>
      </c>
      <c r="S6">
        <v>7.0053779000881997</v>
      </c>
      <c r="T6">
        <v>8.5056333001703006</v>
      </c>
      <c r="U6" t="s">
        <v>39</v>
      </c>
      <c r="V6">
        <v>0</v>
      </c>
      <c r="W6">
        <v>1.4979552999138801</v>
      </c>
      <c r="X6" t="s">
        <v>34</v>
      </c>
      <c r="Y6">
        <v>-5</v>
      </c>
      <c r="Z6">
        <v>965506</v>
      </c>
      <c r="AA6">
        <v>1</v>
      </c>
      <c r="AB6" t="s">
        <v>35</v>
      </c>
      <c r="AC6" t="s">
        <v>36</v>
      </c>
      <c r="AE6" t="s">
        <v>37</v>
      </c>
      <c r="AF6">
        <v>59.886909563351601</v>
      </c>
      <c r="AG6" t="s">
        <v>38</v>
      </c>
    </row>
    <row r="7" spans="1:33" x14ac:dyDescent="0.35">
      <c r="A7">
        <v>5</v>
      </c>
      <c r="B7">
        <v>0</v>
      </c>
      <c r="C7">
        <v>5</v>
      </c>
      <c r="D7" t="s">
        <v>39</v>
      </c>
      <c r="E7">
        <v>0</v>
      </c>
      <c r="F7">
        <v>0.76845909981057003</v>
      </c>
      <c r="G7" t="s">
        <v>34</v>
      </c>
      <c r="H7">
        <v>-5</v>
      </c>
      <c r="I7">
        <v>5</v>
      </c>
      <c r="J7">
        <v>0</v>
      </c>
      <c r="K7">
        <v>5</v>
      </c>
      <c r="L7">
        <v>0</v>
      </c>
      <c r="M7">
        <v>8.5210425001569092</v>
      </c>
      <c r="P7">
        <v>8.5061004001181502</v>
      </c>
      <c r="Q7">
        <v>8.5210425001569092</v>
      </c>
      <c r="R7">
        <v>9.5215938000474107</v>
      </c>
      <c r="S7">
        <v>9.5215938000474107</v>
      </c>
      <c r="T7">
        <v>10.2912690001539</v>
      </c>
      <c r="U7" t="s">
        <v>39</v>
      </c>
      <c r="V7">
        <v>0</v>
      </c>
      <c r="W7">
        <v>0.76845909981057003</v>
      </c>
      <c r="X7" t="s">
        <v>34</v>
      </c>
      <c r="Y7">
        <v>-5</v>
      </c>
      <c r="Z7">
        <v>965506</v>
      </c>
      <c r="AA7">
        <v>1</v>
      </c>
      <c r="AB7" t="s">
        <v>35</v>
      </c>
      <c r="AC7" t="s">
        <v>36</v>
      </c>
      <c r="AE7" t="s">
        <v>37</v>
      </c>
      <c r="AF7">
        <v>59.886909563351601</v>
      </c>
      <c r="AG7" t="s">
        <v>38</v>
      </c>
    </row>
    <row r="8" spans="1:33" x14ac:dyDescent="0.35">
      <c r="A8">
        <v>6</v>
      </c>
      <c r="B8">
        <v>0</v>
      </c>
      <c r="C8">
        <v>6</v>
      </c>
      <c r="D8" t="s">
        <v>39</v>
      </c>
      <c r="E8">
        <v>1</v>
      </c>
      <c r="F8">
        <v>0.74457249999977604</v>
      </c>
      <c r="G8" t="s">
        <v>34</v>
      </c>
      <c r="H8">
        <v>0</v>
      </c>
      <c r="I8">
        <v>6</v>
      </c>
      <c r="J8">
        <v>0</v>
      </c>
      <c r="K8">
        <v>6</v>
      </c>
      <c r="L8">
        <v>0</v>
      </c>
      <c r="M8">
        <v>10.304504100000401</v>
      </c>
      <c r="P8">
        <v>10.291722400113899</v>
      </c>
      <c r="Q8">
        <v>10.304504100000401</v>
      </c>
      <c r="R8">
        <v>11.304932400118499</v>
      </c>
      <c r="S8">
        <v>11.304932400118499</v>
      </c>
      <c r="T8">
        <v>12.057203900068901</v>
      </c>
      <c r="U8" t="s">
        <v>39</v>
      </c>
      <c r="V8">
        <v>1</v>
      </c>
      <c r="W8">
        <v>0.74457249999977604</v>
      </c>
      <c r="X8" t="s">
        <v>34</v>
      </c>
      <c r="Y8">
        <v>0</v>
      </c>
      <c r="Z8">
        <v>965506</v>
      </c>
      <c r="AA8">
        <v>1</v>
      </c>
      <c r="AB8" t="s">
        <v>35</v>
      </c>
      <c r="AC8" t="s">
        <v>36</v>
      </c>
      <c r="AE8" t="s">
        <v>37</v>
      </c>
      <c r="AF8">
        <v>59.886909563351601</v>
      </c>
      <c r="AG8" t="s">
        <v>38</v>
      </c>
    </row>
    <row r="9" spans="1:33" x14ac:dyDescent="0.35">
      <c r="A9">
        <v>7</v>
      </c>
      <c r="B9">
        <v>0</v>
      </c>
      <c r="C9">
        <v>7</v>
      </c>
      <c r="D9" t="s">
        <v>39</v>
      </c>
      <c r="E9">
        <v>0</v>
      </c>
      <c r="F9">
        <v>0.32354969996958899</v>
      </c>
      <c r="G9" t="s">
        <v>34</v>
      </c>
      <c r="H9">
        <v>-5</v>
      </c>
      <c r="I9">
        <v>7</v>
      </c>
      <c r="J9">
        <v>0</v>
      </c>
      <c r="K9">
        <v>7</v>
      </c>
      <c r="L9">
        <v>0</v>
      </c>
      <c r="M9">
        <v>12.071103200083501</v>
      </c>
      <c r="P9">
        <v>12.0576045000925</v>
      </c>
      <c r="Q9">
        <v>12.071103200083501</v>
      </c>
      <c r="R9">
        <v>13.0730209001339</v>
      </c>
      <c r="S9">
        <v>13.0730209001339</v>
      </c>
      <c r="T9">
        <v>13.405584800057101</v>
      </c>
      <c r="U9" t="s">
        <v>39</v>
      </c>
      <c r="V9">
        <v>0</v>
      </c>
      <c r="W9">
        <v>0.32354969996958899</v>
      </c>
      <c r="X9" t="s">
        <v>34</v>
      </c>
      <c r="Y9">
        <v>-5</v>
      </c>
      <c r="Z9">
        <v>965506</v>
      </c>
      <c r="AA9">
        <v>1</v>
      </c>
      <c r="AB9" t="s">
        <v>35</v>
      </c>
      <c r="AC9" t="s">
        <v>36</v>
      </c>
      <c r="AE9" t="s">
        <v>37</v>
      </c>
      <c r="AF9">
        <v>59.886909563351601</v>
      </c>
      <c r="AG9" t="s">
        <v>38</v>
      </c>
    </row>
    <row r="10" spans="1:33" x14ac:dyDescent="0.35">
      <c r="A10">
        <v>8</v>
      </c>
      <c r="B10">
        <v>0</v>
      </c>
      <c r="C10">
        <v>8</v>
      </c>
      <c r="D10" t="s">
        <v>39</v>
      </c>
      <c r="E10">
        <v>1</v>
      </c>
      <c r="F10">
        <v>0.66145400004461397</v>
      </c>
      <c r="G10" t="s">
        <v>34</v>
      </c>
      <c r="H10">
        <v>0</v>
      </c>
      <c r="I10">
        <v>8</v>
      </c>
      <c r="J10">
        <v>0</v>
      </c>
      <c r="K10">
        <v>8</v>
      </c>
      <c r="L10">
        <v>0</v>
      </c>
      <c r="M10">
        <v>13.421279600122901</v>
      </c>
      <c r="P10">
        <v>13.4060690000187</v>
      </c>
      <c r="Q10">
        <v>13.421279600122901</v>
      </c>
      <c r="R10">
        <v>14.4214443999808</v>
      </c>
      <c r="S10">
        <v>14.4214443999808</v>
      </c>
      <c r="T10">
        <v>15.088758400175699</v>
      </c>
      <c r="U10" t="s">
        <v>39</v>
      </c>
      <c r="V10">
        <v>1</v>
      </c>
      <c r="W10">
        <v>0.66145400004461397</v>
      </c>
      <c r="X10" t="s">
        <v>34</v>
      </c>
      <c r="Y10">
        <v>0</v>
      </c>
      <c r="Z10">
        <v>965506</v>
      </c>
      <c r="AA10">
        <v>1</v>
      </c>
      <c r="AB10" t="s">
        <v>35</v>
      </c>
      <c r="AC10" t="s">
        <v>36</v>
      </c>
      <c r="AE10" t="s">
        <v>37</v>
      </c>
      <c r="AF10">
        <v>59.886909563351601</v>
      </c>
      <c r="AG10" t="s">
        <v>38</v>
      </c>
    </row>
    <row r="11" spans="1:33" x14ac:dyDescent="0.35">
      <c r="A11">
        <v>9</v>
      </c>
      <c r="B11">
        <v>0</v>
      </c>
      <c r="C11">
        <v>9</v>
      </c>
      <c r="D11" t="s">
        <v>39</v>
      </c>
      <c r="E11">
        <v>1</v>
      </c>
      <c r="F11">
        <v>1.8802799982950001E-2</v>
      </c>
      <c r="G11" t="s">
        <v>34</v>
      </c>
      <c r="H11">
        <v>0</v>
      </c>
      <c r="I11">
        <v>9</v>
      </c>
      <c r="J11">
        <v>0</v>
      </c>
      <c r="K11">
        <v>9</v>
      </c>
      <c r="L11">
        <v>0</v>
      </c>
      <c r="M11">
        <v>15.103999600047199</v>
      </c>
      <c r="P11">
        <v>15.089210800128001</v>
      </c>
      <c r="Q11">
        <v>15.103999600047199</v>
      </c>
      <c r="R11">
        <v>16.104349400149601</v>
      </c>
      <c r="S11">
        <v>16.087658300064501</v>
      </c>
      <c r="T11">
        <v>16.121371100190999</v>
      </c>
      <c r="U11" t="s">
        <v>39</v>
      </c>
      <c r="V11">
        <v>1</v>
      </c>
      <c r="W11">
        <v>1.8802799982950001E-2</v>
      </c>
      <c r="X11" t="s">
        <v>34</v>
      </c>
      <c r="Y11">
        <v>0</v>
      </c>
      <c r="Z11">
        <v>965506</v>
      </c>
      <c r="AA11">
        <v>1</v>
      </c>
      <c r="AB11" t="s">
        <v>35</v>
      </c>
      <c r="AC11" t="s">
        <v>36</v>
      </c>
      <c r="AE11" t="s">
        <v>37</v>
      </c>
      <c r="AF11">
        <v>59.886909563351601</v>
      </c>
      <c r="AG11" t="s">
        <v>38</v>
      </c>
    </row>
    <row r="12" spans="1:33" x14ac:dyDescent="0.35">
      <c r="A12">
        <v>10</v>
      </c>
      <c r="B12">
        <v>0</v>
      </c>
      <c r="C12">
        <v>10</v>
      </c>
      <c r="D12" t="s">
        <v>33</v>
      </c>
      <c r="E12">
        <v>0</v>
      </c>
      <c r="F12">
        <v>0.15321719995699801</v>
      </c>
      <c r="G12" t="s">
        <v>34</v>
      </c>
      <c r="H12">
        <v>0</v>
      </c>
      <c r="I12">
        <v>10</v>
      </c>
      <c r="J12">
        <v>0</v>
      </c>
      <c r="K12">
        <v>10</v>
      </c>
      <c r="L12">
        <v>0</v>
      </c>
      <c r="M12">
        <v>16.137379200197699</v>
      </c>
      <c r="P12">
        <v>16.121692500077099</v>
      </c>
      <c r="Q12">
        <v>16.137379200197699</v>
      </c>
      <c r="R12">
        <v>17.137968700146299</v>
      </c>
      <c r="S12">
        <v>17.121200100053098</v>
      </c>
      <c r="T12">
        <v>17.288579100044402</v>
      </c>
      <c r="U12" t="s">
        <v>33</v>
      </c>
      <c r="V12">
        <v>0</v>
      </c>
      <c r="W12">
        <v>0.15321719995699801</v>
      </c>
      <c r="X12" t="s">
        <v>34</v>
      </c>
      <c r="Y12">
        <v>0</v>
      </c>
      <c r="Z12">
        <v>965506</v>
      </c>
      <c r="AA12">
        <v>1</v>
      </c>
      <c r="AB12" t="s">
        <v>35</v>
      </c>
      <c r="AC12" t="s">
        <v>36</v>
      </c>
      <c r="AE12" t="s">
        <v>37</v>
      </c>
      <c r="AF12">
        <v>59.886909563351601</v>
      </c>
      <c r="AG12" t="s">
        <v>38</v>
      </c>
    </row>
    <row r="13" spans="1:33" x14ac:dyDescent="0.35">
      <c r="A13">
        <v>11</v>
      </c>
      <c r="B13">
        <v>0</v>
      </c>
      <c r="C13">
        <v>11</v>
      </c>
      <c r="D13" t="s">
        <v>33</v>
      </c>
      <c r="E13">
        <v>1</v>
      </c>
      <c r="F13">
        <v>0.36147689982317299</v>
      </c>
      <c r="G13" t="s">
        <v>34</v>
      </c>
      <c r="H13">
        <v>-5</v>
      </c>
      <c r="I13">
        <v>11</v>
      </c>
      <c r="J13">
        <v>0</v>
      </c>
      <c r="K13">
        <v>11</v>
      </c>
      <c r="L13">
        <v>0</v>
      </c>
      <c r="M13">
        <v>17.304294300032701</v>
      </c>
      <c r="P13">
        <v>17.289098800159898</v>
      </c>
      <c r="Q13">
        <v>17.304294300032701</v>
      </c>
      <c r="R13">
        <v>18.304427100112601</v>
      </c>
      <c r="S13">
        <v>18.304427100112601</v>
      </c>
      <c r="T13">
        <v>18.671970400027899</v>
      </c>
      <c r="U13" t="s">
        <v>33</v>
      </c>
      <c r="V13">
        <v>1</v>
      </c>
      <c r="W13">
        <v>0.36147689982317299</v>
      </c>
      <c r="X13" t="s">
        <v>34</v>
      </c>
      <c r="Y13">
        <v>-5</v>
      </c>
      <c r="Z13">
        <v>965506</v>
      </c>
      <c r="AA13">
        <v>1</v>
      </c>
      <c r="AB13" t="s">
        <v>35</v>
      </c>
      <c r="AC13" t="s">
        <v>36</v>
      </c>
      <c r="AE13" t="s">
        <v>37</v>
      </c>
      <c r="AF13">
        <v>59.886909563351601</v>
      </c>
      <c r="AG13" t="s">
        <v>38</v>
      </c>
    </row>
    <row r="14" spans="1:33" x14ac:dyDescent="0.35">
      <c r="A14">
        <v>12</v>
      </c>
      <c r="B14">
        <v>0</v>
      </c>
      <c r="C14">
        <v>12</v>
      </c>
      <c r="D14" t="s">
        <v>33</v>
      </c>
      <c r="E14">
        <v>1</v>
      </c>
      <c r="F14">
        <v>0.45375689980573902</v>
      </c>
      <c r="G14" t="s">
        <v>34</v>
      </c>
      <c r="H14">
        <v>3</v>
      </c>
      <c r="I14">
        <v>12</v>
      </c>
      <c r="J14">
        <v>0</v>
      </c>
      <c r="K14">
        <v>12</v>
      </c>
      <c r="L14">
        <v>0</v>
      </c>
      <c r="M14">
        <v>18.6873145001009</v>
      </c>
      <c r="P14">
        <v>18.6725757999811</v>
      </c>
      <c r="Q14">
        <v>18.6873145001009</v>
      </c>
      <c r="R14">
        <v>19.6876048000995</v>
      </c>
      <c r="S14">
        <v>19.6876048000995</v>
      </c>
      <c r="T14">
        <v>20.154783700127101</v>
      </c>
      <c r="U14" t="s">
        <v>33</v>
      </c>
      <c r="V14">
        <v>1</v>
      </c>
      <c r="W14">
        <v>0.45375689980573902</v>
      </c>
      <c r="X14" t="s">
        <v>34</v>
      </c>
      <c r="Y14">
        <v>3</v>
      </c>
      <c r="Z14">
        <v>965506</v>
      </c>
      <c r="AA14">
        <v>1</v>
      </c>
      <c r="AB14" t="s">
        <v>35</v>
      </c>
      <c r="AC14" t="s">
        <v>36</v>
      </c>
      <c r="AE14" t="s">
        <v>37</v>
      </c>
      <c r="AF14">
        <v>59.886909563351601</v>
      </c>
      <c r="AG14" t="s">
        <v>38</v>
      </c>
    </row>
    <row r="15" spans="1:33" x14ac:dyDescent="0.35">
      <c r="A15">
        <v>13</v>
      </c>
      <c r="B15">
        <v>0</v>
      </c>
      <c r="C15">
        <v>13</v>
      </c>
      <c r="D15" t="s">
        <v>33</v>
      </c>
      <c r="E15">
        <v>1</v>
      </c>
      <c r="F15">
        <v>0.44338420010171797</v>
      </c>
      <c r="G15" t="s">
        <v>34</v>
      </c>
      <c r="H15">
        <v>2</v>
      </c>
      <c r="I15">
        <v>13</v>
      </c>
      <c r="J15">
        <v>0</v>
      </c>
      <c r="K15">
        <v>13</v>
      </c>
      <c r="L15">
        <v>0</v>
      </c>
      <c r="M15">
        <v>20.171242400072501</v>
      </c>
      <c r="P15">
        <v>20.155251600081101</v>
      </c>
      <c r="Q15">
        <v>20.171242400072501</v>
      </c>
      <c r="R15">
        <v>21.171299500158</v>
      </c>
      <c r="S15">
        <v>21.171299500158</v>
      </c>
      <c r="T15">
        <v>21.621791300131001</v>
      </c>
      <c r="U15" t="s">
        <v>33</v>
      </c>
      <c r="V15">
        <v>1</v>
      </c>
      <c r="W15">
        <v>0.44338420010171797</v>
      </c>
      <c r="X15" t="s">
        <v>34</v>
      </c>
      <c r="Y15">
        <v>2</v>
      </c>
      <c r="Z15">
        <v>965506</v>
      </c>
      <c r="AA15">
        <v>1</v>
      </c>
      <c r="AB15" t="s">
        <v>35</v>
      </c>
      <c r="AC15" t="s">
        <v>36</v>
      </c>
      <c r="AE15" t="s">
        <v>37</v>
      </c>
      <c r="AF15">
        <v>59.886909563351601</v>
      </c>
      <c r="AG15" t="s">
        <v>38</v>
      </c>
    </row>
    <row r="16" spans="1:33" x14ac:dyDescent="0.35">
      <c r="A16">
        <v>14</v>
      </c>
      <c r="B16">
        <v>0</v>
      </c>
      <c r="C16">
        <v>14</v>
      </c>
      <c r="D16" t="s">
        <v>39</v>
      </c>
      <c r="E16">
        <v>1</v>
      </c>
      <c r="F16">
        <v>0.59211609978228796</v>
      </c>
      <c r="G16" t="s">
        <v>34</v>
      </c>
      <c r="H16">
        <v>0</v>
      </c>
      <c r="I16">
        <v>14</v>
      </c>
      <c r="J16">
        <v>0</v>
      </c>
      <c r="K16">
        <v>14</v>
      </c>
      <c r="L16">
        <v>0</v>
      </c>
      <c r="M16">
        <v>21.637310400139501</v>
      </c>
      <c r="P16">
        <v>21.622114500030801</v>
      </c>
      <c r="Q16">
        <v>21.637310400139501</v>
      </c>
      <c r="R16">
        <v>22.637178600067202</v>
      </c>
      <c r="S16">
        <v>22.637178600067202</v>
      </c>
      <c r="T16">
        <v>23.238559400197101</v>
      </c>
      <c r="U16" t="s">
        <v>39</v>
      </c>
      <c r="V16">
        <v>1</v>
      </c>
      <c r="W16">
        <v>0.59211609978228796</v>
      </c>
      <c r="X16" t="s">
        <v>34</v>
      </c>
      <c r="Y16">
        <v>0</v>
      </c>
      <c r="Z16">
        <v>965506</v>
      </c>
      <c r="AA16">
        <v>1</v>
      </c>
      <c r="AB16" t="s">
        <v>35</v>
      </c>
      <c r="AC16" t="s">
        <v>36</v>
      </c>
      <c r="AE16" t="s">
        <v>37</v>
      </c>
      <c r="AF16">
        <v>59.886909563351601</v>
      </c>
      <c r="AG16" t="s">
        <v>38</v>
      </c>
    </row>
    <row r="17" spans="1:33" x14ac:dyDescent="0.35">
      <c r="A17">
        <v>15</v>
      </c>
      <c r="B17">
        <v>0</v>
      </c>
      <c r="C17">
        <v>15</v>
      </c>
      <c r="D17" t="s">
        <v>33</v>
      </c>
      <c r="E17">
        <v>1</v>
      </c>
      <c r="F17">
        <v>1.86507299984805</v>
      </c>
      <c r="G17" t="s">
        <v>34</v>
      </c>
      <c r="H17">
        <v>4</v>
      </c>
      <c r="I17">
        <v>15</v>
      </c>
      <c r="J17">
        <v>0</v>
      </c>
      <c r="K17">
        <v>15</v>
      </c>
      <c r="L17">
        <v>0</v>
      </c>
      <c r="M17">
        <v>23.254544600145799</v>
      </c>
      <c r="P17">
        <v>23.238999000051901</v>
      </c>
      <c r="Q17">
        <v>23.254544600145799</v>
      </c>
      <c r="R17">
        <v>24.254293099977001</v>
      </c>
      <c r="S17">
        <v>24.254293099977001</v>
      </c>
      <c r="T17">
        <v>26.121136800153099</v>
      </c>
      <c r="U17" t="s">
        <v>33</v>
      </c>
      <c r="V17">
        <v>1</v>
      </c>
      <c r="W17">
        <v>1.86507299984805</v>
      </c>
      <c r="X17" t="s">
        <v>34</v>
      </c>
      <c r="Y17">
        <v>4</v>
      </c>
      <c r="Z17">
        <v>965506</v>
      </c>
      <c r="AA17">
        <v>1</v>
      </c>
      <c r="AB17" t="s">
        <v>35</v>
      </c>
      <c r="AC17" t="s">
        <v>36</v>
      </c>
      <c r="AE17" t="s">
        <v>37</v>
      </c>
      <c r="AF17">
        <v>59.886909563351601</v>
      </c>
      <c r="AG17" t="s">
        <v>38</v>
      </c>
    </row>
    <row r="18" spans="1:33" x14ac:dyDescent="0.35">
      <c r="A18">
        <v>16</v>
      </c>
      <c r="B18">
        <v>0</v>
      </c>
      <c r="C18">
        <v>16</v>
      </c>
      <c r="D18" t="s">
        <v>39</v>
      </c>
      <c r="E18">
        <v>0</v>
      </c>
      <c r="F18">
        <v>0.85193970007821895</v>
      </c>
      <c r="G18" t="s">
        <v>34</v>
      </c>
      <c r="H18">
        <v>-2</v>
      </c>
      <c r="I18">
        <v>16</v>
      </c>
      <c r="J18">
        <v>0</v>
      </c>
      <c r="K18">
        <v>16</v>
      </c>
      <c r="L18">
        <v>0</v>
      </c>
      <c r="M18">
        <v>26.137504199985401</v>
      </c>
      <c r="P18">
        <v>26.121569500071899</v>
      </c>
      <c r="Q18">
        <v>26.137504199985401</v>
      </c>
      <c r="R18">
        <v>27.137191500048999</v>
      </c>
      <c r="S18">
        <v>27.1211624001152</v>
      </c>
      <c r="T18">
        <v>27.987689099973</v>
      </c>
      <c r="U18" t="s">
        <v>39</v>
      </c>
      <c r="V18">
        <v>0</v>
      </c>
      <c r="W18">
        <v>0.85193970007821895</v>
      </c>
      <c r="X18" t="s">
        <v>34</v>
      </c>
      <c r="Y18">
        <v>-2</v>
      </c>
      <c r="Z18">
        <v>965506</v>
      </c>
      <c r="AA18">
        <v>1</v>
      </c>
      <c r="AB18" t="s">
        <v>35</v>
      </c>
      <c r="AC18" t="s">
        <v>36</v>
      </c>
      <c r="AE18" t="s">
        <v>37</v>
      </c>
      <c r="AF18">
        <v>59.886909563351601</v>
      </c>
      <c r="AG18" t="s">
        <v>38</v>
      </c>
    </row>
    <row r="19" spans="1:33" x14ac:dyDescent="0.35">
      <c r="A19">
        <v>17</v>
      </c>
      <c r="B19">
        <v>0</v>
      </c>
      <c r="C19">
        <v>17</v>
      </c>
      <c r="D19" t="s">
        <v>33</v>
      </c>
      <c r="E19">
        <v>0</v>
      </c>
      <c r="F19">
        <v>5.64712001942098E-2</v>
      </c>
      <c r="G19" t="s">
        <v>34</v>
      </c>
      <c r="H19">
        <v>0</v>
      </c>
      <c r="I19">
        <v>17</v>
      </c>
      <c r="J19">
        <v>0</v>
      </c>
      <c r="K19">
        <v>17</v>
      </c>
      <c r="L19">
        <v>0</v>
      </c>
      <c r="M19">
        <v>28.003968200180601</v>
      </c>
      <c r="P19">
        <v>27.9880504000466</v>
      </c>
      <c r="Q19">
        <v>28.003968200180601</v>
      </c>
      <c r="R19">
        <v>29.003354500047799</v>
      </c>
      <c r="S19">
        <v>29.003354500047799</v>
      </c>
      <c r="T19">
        <v>29.072294500190701</v>
      </c>
      <c r="U19" t="s">
        <v>33</v>
      </c>
      <c r="V19">
        <v>0</v>
      </c>
      <c r="W19">
        <v>5.64712001942098E-2</v>
      </c>
      <c r="X19" t="s">
        <v>34</v>
      </c>
      <c r="Y19">
        <v>0</v>
      </c>
      <c r="Z19">
        <v>965506</v>
      </c>
      <c r="AA19">
        <v>1</v>
      </c>
      <c r="AB19" t="s">
        <v>35</v>
      </c>
      <c r="AC19" t="s">
        <v>36</v>
      </c>
      <c r="AE19" t="s">
        <v>37</v>
      </c>
      <c r="AF19">
        <v>59.886909563351601</v>
      </c>
      <c r="AG19" t="s">
        <v>38</v>
      </c>
    </row>
    <row r="20" spans="1:33" x14ac:dyDescent="0.35">
      <c r="A20">
        <v>18</v>
      </c>
      <c r="B20">
        <v>0</v>
      </c>
      <c r="C20">
        <v>18</v>
      </c>
      <c r="D20" t="s">
        <v>39</v>
      </c>
      <c r="E20">
        <v>0</v>
      </c>
      <c r="F20">
        <v>0.11010670010000401</v>
      </c>
      <c r="G20" t="s">
        <v>34</v>
      </c>
      <c r="H20">
        <v>-4</v>
      </c>
      <c r="I20">
        <v>18</v>
      </c>
      <c r="J20">
        <v>0</v>
      </c>
      <c r="K20">
        <v>18</v>
      </c>
      <c r="L20">
        <v>0</v>
      </c>
      <c r="M20">
        <v>29.086922900052699</v>
      </c>
      <c r="P20">
        <v>29.073014200199299</v>
      </c>
      <c r="Q20">
        <v>29.086922900052699</v>
      </c>
      <c r="R20">
        <v>30.086938300170001</v>
      </c>
      <c r="S20">
        <v>30.086938300170001</v>
      </c>
      <c r="T20">
        <v>30.205306600080799</v>
      </c>
      <c r="U20" t="s">
        <v>39</v>
      </c>
      <c r="V20">
        <v>0</v>
      </c>
      <c r="W20">
        <v>0.11010670010000401</v>
      </c>
      <c r="X20" t="s">
        <v>34</v>
      </c>
      <c r="Y20">
        <v>-4</v>
      </c>
      <c r="Z20">
        <v>965506</v>
      </c>
      <c r="AA20">
        <v>1</v>
      </c>
      <c r="AB20" t="s">
        <v>35</v>
      </c>
      <c r="AC20" t="s">
        <v>36</v>
      </c>
      <c r="AE20" t="s">
        <v>37</v>
      </c>
      <c r="AF20">
        <v>59.886909563351601</v>
      </c>
      <c r="AG20" t="s">
        <v>38</v>
      </c>
    </row>
    <row r="21" spans="1:33" x14ac:dyDescent="0.35">
      <c r="A21">
        <v>19</v>
      </c>
      <c r="B21">
        <v>0</v>
      </c>
      <c r="C21">
        <v>19</v>
      </c>
      <c r="D21" t="s">
        <v>39</v>
      </c>
      <c r="E21">
        <v>1</v>
      </c>
      <c r="F21">
        <v>0.63288659998215702</v>
      </c>
      <c r="G21" t="s">
        <v>34</v>
      </c>
      <c r="H21">
        <v>0</v>
      </c>
      <c r="I21">
        <v>19</v>
      </c>
      <c r="J21">
        <v>0</v>
      </c>
      <c r="K21">
        <v>19</v>
      </c>
      <c r="L21">
        <v>0</v>
      </c>
      <c r="M21">
        <v>30.2205996999982</v>
      </c>
      <c r="P21">
        <v>30.205915400059801</v>
      </c>
      <c r="Q21">
        <v>30.2205996999982</v>
      </c>
      <c r="R21">
        <v>31.220476200105601</v>
      </c>
      <c r="S21">
        <v>31.220476200105601</v>
      </c>
      <c r="T21">
        <v>31.854825500166001</v>
      </c>
      <c r="U21" t="s">
        <v>39</v>
      </c>
      <c r="V21">
        <v>1</v>
      </c>
      <c r="W21">
        <v>0.63288659998215702</v>
      </c>
      <c r="X21" t="s">
        <v>34</v>
      </c>
      <c r="Y21">
        <v>0</v>
      </c>
      <c r="Z21">
        <v>965506</v>
      </c>
      <c r="AA21">
        <v>1</v>
      </c>
      <c r="AB21" t="s">
        <v>35</v>
      </c>
      <c r="AC21" t="s">
        <v>36</v>
      </c>
      <c r="AE21" t="s">
        <v>37</v>
      </c>
      <c r="AF21">
        <v>59.886909563351601</v>
      </c>
      <c r="AG21" t="s">
        <v>38</v>
      </c>
    </row>
    <row r="22" spans="1:33" x14ac:dyDescent="0.35">
      <c r="A22">
        <v>20</v>
      </c>
      <c r="B22">
        <v>0</v>
      </c>
      <c r="C22">
        <v>20</v>
      </c>
      <c r="D22" t="s">
        <v>33</v>
      </c>
      <c r="E22">
        <v>0</v>
      </c>
      <c r="F22">
        <v>2.2748999763280101E-3</v>
      </c>
      <c r="G22" t="s">
        <v>34</v>
      </c>
      <c r="H22">
        <v>0</v>
      </c>
      <c r="I22">
        <v>20</v>
      </c>
      <c r="J22">
        <v>0</v>
      </c>
      <c r="K22">
        <v>20</v>
      </c>
      <c r="L22">
        <v>0</v>
      </c>
      <c r="M22">
        <v>31.870089800096999</v>
      </c>
      <c r="P22">
        <v>31.855290899984499</v>
      </c>
      <c r="Q22">
        <v>31.870089800096999</v>
      </c>
      <c r="R22">
        <v>32.8707638001069</v>
      </c>
      <c r="S22">
        <v>32.8707638001069</v>
      </c>
      <c r="T22">
        <v>32.887250600149798</v>
      </c>
      <c r="U22" t="s">
        <v>33</v>
      </c>
      <c r="V22">
        <v>0</v>
      </c>
      <c r="W22">
        <v>2.2748999763280101E-3</v>
      </c>
      <c r="X22" t="s">
        <v>34</v>
      </c>
      <c r="Y22">
        <v>0</v>
      </c>
      <c r="Z22">
        <v>965506</v>
      </c>
      <c r="AA22">
        <v>1</v>
      </c>
      <c r="AB22" t="s">
        <v>35</v>
      </c>
      <c r="AC22" t="s">
        <v>36</v>
      </c>
      <c r="AE22" t="s">
        <v>37</v>
      </c>
      <c r="AF22">
        <v>59.886909563351601</v>
      </c>
      <c r="AG22" t="s">
        <v>38</v>
      </c>
    </row>
    <row r="23" spans="1:33" x14ac:dyDescent="0.35">
      <c r="A23">
        <v>21</v>
      </c>
      <c r="B23">
        <v>0</v>
      </c>
      <c r="C23">
        <v>21</v>
      </c>
      <c r="D23" t="s">
        <v>39</v>
      </c>
      <c r="E23">
        <v>0</v>
      </c>
      <c r="F23">
        <v>1.18669310002587</v>
      </c>
      <c r="G23" t="s">
        <v>34</v>
      </c>
      <c r="H23">
        <v>-4</v>
      </c>
      <c r="I23">
        <v>21</v>
      </c>
      <c r="J23">
        <v>0</v>
      </c>
      <c r="K23">
        <v>21</v>
      </c>
      <c r="L23">
        <v>0</v>
      </c>
      <c r="M23">
        <v>32.903909699991303</v>
      </c>
      <c r="P23">
        <v>32.887658900115603</v>
      </c>
      <c r="Q23">
        <v>32.903909699991303</v>
      </c>
      <c r="R23">
        <v>33.903840600047197</v>
      </c>
      <c r="S23">
        <v>33.886805500136603</v>
      </c>
      <c r="T23">
        <v>35.088123900117303</v>
      </c>
      <c r="U23" t="s">
        <v>39</v>
      </c>
      <c r="V23">
        <v>0</v>
      </c>
      <c r="W23">
        <v>1.18669310002587</v>
      </c>
      <c r="X23" t="s">
        <v>34</v>
      </c>
      <c r="Y23">
        <v>-4</v>
      </c>
      <c r="Z23">
        <v>965506</v>
      </c>
      <c r="AA23">
        <v>1</v>
      </c>
      <c r="AB23" t="s">
        <v>35</v>
      </c>
      <c r="AC23" t="s">
        <v>36</v>
      </c>
      <c r="AE23" t="s">
        <v>37</v>
      </c>
      <c r="AF23">
        <v>59.886909563351601</v>
      </c>
      <c r="AG23" t="s">
        <v>38</v>
      </c>
    </row>
    <row r="24" spans="1:33" x14ac:dyDescent="0.35">
      <c r="A24">
        <v>22</v>
      </c>
      <c r="B24">
        <v>0</v>
      </c>
      <c r="C24">
        <v>22</v>
      </c>
      <c r="D24" t="s">
        <v>39</v>
      </c>
      <c r="E24">
        <v>0</v>
      </c>
      <c r="F24">
        <v>0.99658460007049099</v>
      </c>
      <c r="G24" t="s">
        <v>34</v>
      </c>
      <c r="H24">
        <v>-3</v>
      </c>
      <c r="I24">
        <v>22</v>
      </c>
      <c r="J24">
        <v>0</v>
      </c>
      <c r="K24">
        <v>22</v>
      </c>
      <c r="L24">
        <v>0</v>
      </c>
      <c r="M24">
        <v>35.103558700066003</v>
      </c>
      <c r="P24">
        <v>35.088549999985801</v>
      </c>
      <c r="Q24">
        <v>35.103558700066003</v>
      </c>
      <c r="R24">
        <v>36.103530300082603</v>
      </c>
      <c r="S24">
        <v>36.0868862001225</v>
      </c>
      <c r="T24">
        <v>37.087514200014901</v>
      </c>
      <c r="U24" t="s">
        <v>39</v>
      </c>
      <c r="V24">
        <v>0</v>
      </c>
      <c r="W24">
        <v>0.99658460007049099</v>
      </c>
      <c r="X24" t="s">
        <v>34</v>
      </c>
      <c r="Y24">
        <v>-3</v>
      </c>
      <c r="Z24">
        <v>965506</v>
      </c>
      <c r="AA24">
        <v>1</v>
      </c>
      <c r="AB24" t="s">
        <v>35</v>
      </c>
      <c r="AC24" t="s">
        <v>36</v>
      </c>
      <c r="AE24" t="s">
        <v>37</v>
      </c>
      <c r="AF24">
        <v>59.886909563351601</v>
      </c>
      <c r="AG24" t="s">
        <v>38</v>
      </c>
    </row>
    <row r="25" spans="1:33" x14ac:dyDescent="0.35">
      <c r="A25">
        <v>23</v>
      </c>
      <c r="B25">
        <v>0</v>
      </c>
      <c r="C25">
        <v>23</v>
      </c>
      <c r="D25" t="s">
        <v>33</v>
      </c>
      <c r="E25">
        <v>0</v>
      </c>
      <c r="F25">
        <v>0.64255029987543799</v>
      </c>
      <c r="G25" t="s">
        <v>34</v>
      </c>
      <c r="H25">
        <v>0</v>
      </c>
      <c r="I25">
        <v>23</v>
      </c>
      <c r="J25">
        <v>0</v>
      </c>
      <c r="K25">
        <v>23</v>
      </c>
      <c r="L25">
        <v>0</v>
      </c>
      <c r="M25">
        <v>37.103289599996003</v>
      </c>
      <c r="P25">
        <v>37.087993500055703</v>
      </c>
      <c r="Q25">
        <v>37.103289599996003</v>
      </c>
      <c r="R25">
        <v>38.103416300145902</v>
      </c>
      <c r="S25">
        <v>38.103416300145902</v>
      </c>
      <c r="T25">
        <v>38.754385600099297</v>
      </c>
      <c r="U25" t="s">
        <v>33</v>
      </c>
      <c r="V25">
        <v>0</v>
      </c>
      <c r="W25">
        <v>0.64255029987543799</v>
      </c>
      <c r="X25" t="s">
        <v>34</v>
      </c>
      <c r="Y25">
        <v>0</v>
      </c>
      <c r="Z25">
        <v>965506</v>
      </c>
      <c r="AA25">
        <v>1</v>
      </c>
      <c r="AB25" t="s">
        <v>35</v>
      </c>
      <c r="AC25" t="s">
        <v>36</v>
      </c>
      <c r="AE25" t="s">
        <v>37</v>
      </c>
      <c r="AF25">
        <v>59.886909563351601</v>
      </c>
      <c r="AG25" t="s">
        <v>38</v>
      </c>
    </row>
    <row r="26" spans="1:33" x14ac:dyDescent="0.35">
      <c r="A26">
        <v>24</v>
      </c>
      <c r="B26">
        <v>0</v>
      </c>
      <c r="C26">
        <v>24</v>
      </c>
      <c r="D26" t="s">
        <v>33</v>
      </c>
      <c r="E26">
        <v>1</v>
      </c>
      <c r="F26">
        <v>0.50353200011886601</v>
      </c>
      <c r="G26" t="s">
        <v>34</v>
      </c>
      <c r="H26">
        <v>-5</v>
      </c>
      <c r="I26">
        <v>24</v>
      </c>
      <c r="J26">
        <v>0</v>
      </c>
      <c r="K26">
        <v>24</v>
      </c>
      <c r="L26">
        <v>0</v>
      </c>
      <c r="M26">
        <v>38.770070200087503</v>
      </c>
      <c r="P26">
        <v>38.754924300126703</v>
      </c>
      <c r="Q26">
        <v>38.770070200087503</v>
      </c>
      <c r="R26">
        <v>39.770297700073499</v>
      </c>
      <c r="S26">
        <v>39.770297700073499</v>
      </c>
      <c r="T26">
        <v>40.287204400170502</v>
      </c>
      <c r="U26" t="s">
        <v>33</v>
      </c>
      <c r="V26">
        <v>1</v>
      </c>
      <c r="W26">
        <v>0.50353200011886601</v>
      </c>
      <c r="X26" t="s">
        <v>34</v>
      </c>
      <c r="Y26">
        <v>-5</v>
      </c>
      <c r="Z26">
        <v>965506</v>
      </c>
      <c r="AA26">
        <v>1</v>
      </c>
      <c r="AB26" t="s">
        <v>35</v>
      </c>
      <c r="AC26" t="s">
        <v>36</v>
      </c>
      <c r="AE26" t="s">
        <v>37</v>
      </c>
      <c r="AF26">
        <v>59.886909563351601</v>
      </c>
      <c r="AG26" t="s">
        <v>38</v>
      </c>
    </row>
    <row r="27" spans="1:33" x14ac:dyDescent="0.35">
      <c r="A27">
        <v>25</v>
      </c>
      <c r="B27">
        <v>0</v>
      </c>
      <c r="C27">
        <v>25</v>
      </c>
      <c r="D27" t="s">
        <v>33</v>
      </c>
      <c r="E27">
        <v>0</v>
      </c>
      <c r="F27">
        <v>0.550435699988156</v>
      </c>
      <c r="G27" t="s">
        <v>34</v>
      </c>
      <c r="H27">
        <v>0</v>
      </c>
      <c r="I27">
        <v>25</v>
      </c>
      <c r="J27">
        <v>0</v>
      </c>
      <c r="K27">
        <v>25</v>
      </c>
      <c r="L27">
        <v>0</v>
      </c>
      <c r="M27">
        <v>40.303165500052202</v>
      </c>
      <c r="P27">
        <v>40.2877343001309</v>
      </c>
      <c r="Q27">
        <v>40.303165500052202</v>
      </c>
      <c r="R27">
        <v>41.303660900099203</v>
      </c>
      <c r="S27">
        <v>41.286861500004299</v>
      </c>
      <c r="T27">
        <v>41.838227899977902</v>
      </c>
      <c r="U27" t="s">
        <v>33</v>
      </c>
      <c r="V27">
        <v>0</v>
      </c>
      <c r="W27">
        <v>0.550435699988156</v>
      </c>
      <c r="X27" t="s">
        <v>34</v>
      </c>
      <c r="Y27">
        <v>0</v>
      </c>
      <c r="Z27">
        <v>965506</v>
      </c>
      <c r="AA27">
        <v>1</v>
      </c>
      <c r="AB27" t="s">
        <v>35</v>
      </c>
      <c r="AC27" t="s">
        <v>36</v>
      </c>
      <c r="AE27" t="s">
        <v>37</v>
      </c>
      <c r="AF27">
        <v>59.886909563351601</v>
      </c>
      <c r="AG27" t="s">
        <v>38</v>
      </c>
    </row>
    <row r="28" spans="1:33" x14ac:dyDescent="0.35">
      <c r="A28">
        <v>26</v>
      </c>
      <c r="B28">
        <v>0</v>
      </c>
      <c r="C28">
        <v>26</v>
      </c>
      <c r="D28" t="s">
        <v>33</v>
      </c>
      <c r="E28">
        <v>1</v>
      </c>
      <c r="F28">
        <v>0.50062159984372501</v>
      </c>
      <c r="G28" t="s">
        <v>34</v>
      </c>
      <c r="H28">
        <v>-4</v>
      </c>
      <c r="I28">
        <v>26</v>
      </c>
      <c r="J28">
        <v>0</v>
      </c>
      <c r="K28">
        <v>26</v>
      </c>
      <c r="L28">
        <v>0</v>
      </c>
      <c r="M28">
        <v>41.854362000012699</v>
      </c>
      <c r="P28">
        <v>41.838600900024097</v>
      </c>
      <c r="Q28">
        <v>41.854362000012699</v>
      </c>
      <c r="R28">
        <v>42.853189400164403</v>
      </c>
      <c r="S28">
        <v>42.853189400164403</v>
      </c>
      <c r="T28">
        <v>43.3547249999828</v>
      </c>
      <c r="U28" t="s">
        <v>33</v>
      </c>
      <c r="V28">
        <v>1</v>
      </c>
      <c r="W28">
        <v>0.50062159984372501</v>
      </c>
      <c r="X28" t="s">
        <v>34</v>
      </c>
      <c r="Y28">
        <v>-4</v>
      </c>
      <c r="Z28">
        <v>965506</v>
      </c>
      <c r="AA28">
        <v>1</v>
      </c>
      <c r="AB28" t="s">
        <v>35</v>
      </c>
      <c r="AC28" t="s">
        <v>36</v>
      </c>
      <c r="AE28" t="s">
        <v>37</v>
      </c>
      <c r="AF28">
        <v>59.886909563351601</v>
      </c>
      <c r="AG28" t="s">
        <v>38</v>
      </c>
    </row>
    <row r="29" spans="1:33" x14ac:dyDescent="0.35">
      <c r="A29">
        <v>27</v>
      </c>
      <c r="B29">
        <v>0</v>
      </c>
      <c r="C29">
        <v>27</v>
      </c>
      <c r="D29" t="s">
        <v>33</v>
      </c>
      <c r="E29">
        <v>0</v>
      </c>
      <c r="F29">
        <v>0.39116319990716802</v>
      </c>
      <c r="G29" t="s">
        <v>34</v>
      </c>
      <c r="H29">
        <v>0</v>
      </c>
      <c r="I29">
        <v>27</v>
      </c>
      <c r="J29">
        <v>0</v>
      </c>
      <c r="K29">
        <v>27</v>
      </c>
      <c r="L29">
        <v>0</v>
      </c>
      <c r="M29">
        <v>43.369573500007299</v>
      </c>
      <c r="P29">
        <v>43.355050100013599</v>
      </c>
      <c r="Q29">
        <v>43.369573500007299</v>
      </c>
      <c r="R29">
        <v>44.370190100045797</v>
      </c>
      <c r="S29">
        <v>44.370190100045797</v>
      </c>
      <c r="T29">
        <v>44.770343300187903</v>
      </c>
      <c r="U29" t="s">
        <v>33</v>
      </c>
      <c r="V29">
        <v>0</v>
      </c>
      <c r="W29">
        <v>0.39116319990716802</v>
      </c>
      <c r="X29" t="s">
        <v>34</v>
      </c>
      <c r="Y29">
        <v>0</v>
      </c>
      <c r="Z29">
        <v>965506</v>
      </c>
      <c r="AA29">
        <v>1</v>
      </c>
      <c r="AB29" t="s">
        <v>35</v>
      </c>
      <c r="AC29" t="s">
        <v>36</v>
      </c>
      <c r="AE29" t="s">
        <v>37</v>
      </c>
      <c r="AF29">
        <v>59.886909563351601</v>
      </c>
      <c r="AG29" t="s">
        <v>38</v>
      </c>
    </row>
    <row r="30" spans="1:33" x14ac:dyDescent="0.35">
      <c r="A30">
        <v>28</v>
      </c>
      <c r="B30">
        <v>0</v>
      </c>
      <c r="C30">
        <v>28</v>
      </c>
      <c r="D30" t="s">
        <v>33</v>
      </c>
      <c r="E30">
        <v>0</v>
      </c>
      <c r="F30">
        <v>0.22616939991712501</v>
      </c>
      <c r="G30" t="s">
        <v>34</v>
      </c>
      <c r="H30">
        <v>0</v>
      </c>
      <c r="I30">
        <v>28</v>
      </c>
      <c r="J30">
        <v>0</v>
      </c>
      <c r="K30">
        <v>28</v>
      </c>
      <c r="L30">
        <v>0</v>
      </c>
      <c r="M30">
        <v>44.786339600104803</v>
      </c>
      <c r="P30">
        <v>44.770887100137699</v>
      </c>
      <c r="Q30">
        <v>44.786339600104803</v>
      </c>
      <c r="R30">
        <v>45.786238600034203</v>
      </c>
      <c r="S30">
        <v>45.769774200161898</v>
      </c>
      <c r="T30">
        <v>45.996438800124402</v>
      </c>
      <c r="U30" t="s">
        <v>33</v>
      </c>
      <c r="V30">
        <v>0</v>
      </c>
      <c r="W30">
        <v>0.22616939991712501</v>
      </c>
      <c r="X30" t="s">
        <v>34</v>
      </c>
      <c r="Y30">
        <v>0</v>
      </c>
      <c r="Z30">
        <v>965506</v>
      </c>
      <c r="AA30">
        <v>1</v>
      </c>
      <c r="AB30" t="s">
        <v>35</v>
      </c>
      <c r="AC30" t="s">
        <v>36</v>
      </c>
      <c r="AE30" t="s">
        <v>37</v>
      </c>
      <c r="AF30">
        <v>59.886909563351601</v>
      </c>
      <c r="AG30" t="s">
        <v>38</v>
      </c>
    </row>
    <row r="31" spans="1:33" x14ac:dyDescent="0.35">
      <c r="A31">
        <v>29</v>
      </c>
      <c r="B31">
        <v>0</v>
      </c>
      <c r="C31">
        <v>29</v>
      </c>
      <c r="D31" t="s">
        <v>39</v>
      </c>
      <c r="E31">
        <v>0</v>
      </c>
      <c r="F31">
        <v>0.10040139988996</v>
      </c>
      <c r="G31" t="s">
        <v>34</v>
      </c>
      <c r="H31">
        <v>4</v>
      </c>
      <c r="I31">
        <v>29</v>
      </c>
      <c r="J31">
        <v>0</v>
      </c>
      <c r="K31">
        <v>29</v>
      </c>
      <c r="L31">
        <v>0</v>
      </c>
      <c r="M31">
        <v>46.002761200070303</v>
      </c>
      <c r="P31">
        <v>45.9967501000501</v>
      </c>
      <c r="Q31">
        <v>46.002761200070303</v>
      </c>
      <c r="R31">
        <v>47.002699200063901</v>
      </c>
      <c r="S31">
        <v>47.002699200063901</v>
      </c>
      <c r="T31">
        <v>47.104816399980301</v>
      </c>
      <c r="U31" t="s">
        <v>39</v>
      </c>
      <c r="V31">
        <v>0</v>
      </c>
      <c r="W31">
        <v>0.10040139988996</v>
      </c>
      <c r="X31" t="s">
        <v>34</v>
      </c>
      <c r="Y31">
        <v>4</v>
      </c>
      <c r="Z31">
        <v>965506</v>
      </c>
      <c r="AA31">
        <v>1</v>
      </c>
      <c r="AB31" t="s">
        <v>35</v>
      </c>
      <c r="AC31" t="s">
        <v>36</v>
      </c>
      <c r="AE31" t="s">
        <v>37</v>
      </c>
      <c r="AF31">
        <v>59.886909563351601</v>
      </c>
      <c r="AG31" t="s">
        <v>38</v>
      </c>
    </row>
    <row r="32" spans="1:33" x14ac:dyDescent="0.35">
      <c r="A32">
        <v>30</v>
      </c>
      <c r="B32">
        <v>0</v>
      </c>
      <c r="C32">
        <v>30</v>
      </c>
      <c r="D32" t="s">
        <v>33</v>
      </c>
      <c r="E32">
        <v>0</v>
      </c>
      <c r="F32">
        <v>3.4451300045475301E-2</v>
      </c>
      <c r="G32" t="s">
        <v>34</v>
      </c>
      <c r="H32">
        <v>0</v>
      </c>
      <c r="I32">
        <v>30</v>
      </c>
      <c r="J32">
        <v>0</v>
      </c>
      <c r="K32">
        <v>30</v>
      </c>
      <c r="L32">
        <v>0</v>
      </c>
      <c r="M32">
        <v>47.119294099975299</v>
      </c>
      <c r="P32">
        <v>47.105228899978101</v>
      </c>
      <c r="Q32">
        <v>47.119294099975299</v>
      </c>
      <c r="R32">
        <v>48.119770999997797</v>
      </c>
      <c r="S32">
        <v>48.119770999997797</v>
      </c>
      <c r="T32">
        <v>48.155239900108398</v>
      </c>
      <c r="U32" t="s">
        <v>33</v>
      </c>
      <c r="V32">
        <v>0</v>
      </c>
      <c r="W32">
        <v>3.4451300045475301E-2</v>
      </c>
      <c r="X32" t="s">
        <v>34</v>
      </c>
      <c r="Y32">
        <v>0</v>
      </c>
      <c r="Z32">
        <v>965506</v>
      </c>
      <c r="AA32">
        <v>1</v>
      </c>
      <c r="AB32" t="s">
        <v>35</v>
      </c>
      <c r="AC32" t="s">
        <v>36</v>
      </c>
      <c r="AE32" t="s">
        <v>37</v>
      </c>
      <c r="AF32">
        <v>59.886909563351601</v>
      </c>
      <c r="AG32" t="s">
        <v>38</v>
      </c>
    </row>
    <row r="33" spans="1:33" x14ac:dyDescent="0.35">
      <c r="A33">
        <v>31</v>
      </c>
      <c r="B33">
        <v>0</v>
      </c>
      <c r="C33">
        <v>31</v>
      </c>
      <c r="D33" t="s">
        <v>33</v>
      </c>
      <c r="E33">
        <v>1</v>
      </c>
      <c r="F33">
        <v>0.25684679998084903</v>
      </c>
      <c r="G33" t="s">
        <v>34</v>
      </c>
      <c r="H33">
        <v>3</v>
      </c>
      <c r="I33">
        <v>31</v>
      </c>
      <c r="J33">
        <v>0</v>
      </c>
      <c r="K33">
        <v>31</v>
      </c>
      <c r="L33">
        <v>0</v>
      </c>
      <c r="M33">
        <v>48.169557800050796</v>
      </c>
      <c r="P33">
        <v>48.155619000084698</v>
      </c>
      <c r="Q33">
        <v>48.169557800050796</v>
      </c>
      <c r="R33">
        <v>49.169770400039802</v>
      </c>
      <c r="S33">
        <v>49.169770400039802</v>
      </c>
      <c r="T33">
        <v>49.436844000127103</v>
      </c>
      <c r="U33" t="s">
        <v>33</v>
      </c>
      <c r="V33">
        <v>1</v>
      </c>
      <c r="W33">
        <v>0.25684679998084903</v>
      </c>
      <c r="X33" t="s">
        <v>34</v>
      </c>
      <c r="Y33">
        <v>3</v>
      </c>
      <c r="Z33">
        <v>965506</v>
      </c>
      <c r="AA33">
        <v>1</v>
      </c>
      <c r="AB33" t="s">
        <v>35</v>
      </c>
      <c r="AC33" t="s">
        <v>36</v>
      </c>
      <c r="AE33" t="s">
        <v>37</v>
      </c>
      <c r="AF33">
        <v>59.886909563351601</v>
      </c>
      <c r="AG33" t="s">
        <v>38</v>
      </c>
    </row>
    <row r="34" spans="1:33" x14ac:dyDescent="0.35">
      <c r="A34">
        <v>32</v>
      </c>
      <c r="B34">
        <v>0</v>
      </c>
      <c r="C34">
        <v>32</v>
      </c>
      <c r="D34" t="s">
        <v>39</v>
      </c>
      <c r="E34">
        <v>1</v>
      </c>
      <c r="F34">
        <v>0.21237129997462001</v>
      </c>
      <c r="G34" t="s">
        <v>34</v>
      </c>
      <c r="H34">
        <v>0</v>
      </c>
      <c r="I34">
        <v>32</v>
      </c>
      <c r="J34">
        <v>0</v>
      </c>
      <c r="K34">
        <v>32</v>
      </c>
      <c r="L34">
        <v>0</v>
      </c>
      <c r="M34">
        <v>49.452731800032701</v>
      </c>
      <c r="P34">
        <v>49.437354300171101</v>
      </c>
      <c r="Q34">
        <v>49.452731800032701</v>
      </c>
      <c r="R34">
        <v>50.453042400069499</v>
      </c>
      <c r="S34">
        <v>50.436284900177199</v>
      </c>
      <c r="T34">
        <v>50.653594900155397</v>
      </c>
      <c r="U34" t="s">
        <v>39</v>
      </c>
      <c r="V34">
        <v>1</v>
      </c>
      <c r="W34">
        <v>0.21237129997462001</v>
      </c>
      <c r="X34" t="s">
        <v>34</v>
      </c>
      <c r="Y34">
        <v>0</v>
      </c>
      <c r="Z34">
        <v>965506</v>
      </c>
      <c r="AA34">
        <v>1</v>
      </c>
      <c r="AB34" t="s">
        <v>35</v>
      </c>
      <c r="AC34" t="s">
        <v>36</v>
      </c>
      <c r="AE34" t="s">
        <v>37</v>
      </c>
      <c r="AF34">
        <v>59.886909563351601</v>
      </c>
      <c r="AG34" t="s">
        <v>38</v>
      </c>
    </row>
    <row r="35" spans="1:33" x14ac:dyDescent="0.35">
      <c r="A35">
        <v>33</v>
      </c>
      <c r="B35">
        <v>0</v>
      </c>
      <c r="C35">
        <v>33</v>
      </c>
      <c r="D35" t="s">
        <v>33</v>
      </c>
      <c r="E35">
        <v>1</v>
      </c>
      <c r="F35">
        <v>0.61583700007759001</v>
      </c>
      <c r="G35" t="s">
        <v>34</v>
      </c>
      <c r="H35">
        <v>-5</v>
      </c>
      <c r="I35">
        <v>33</v>
      </c>
      <c r="J35">
        <v>0</v>
      </c>
      <c r="K35">
        <v>33</v>
      </c>
      <c r="L35">
        <v>0</v>
      </c>
      <c r="M35">
        <v>50.669267600169398</v>
      </c>
      <c r="P35">
        <v>50.6541603000368</v>
      </c>
      <c r="Q35">
        <v>50.669267600169398</v>
      </c>
      <c r="R35">
        <v>51.669607000192599</v>
      </c>
      <c r="S35">
        <v>51.6528956000693</v>
      </c>
      <c r="T35">
        <v>52.270138500025404</v>
      </c>
      <c r="U35" t="s">
        <v>33</v>
      </c>
      <c r="V35">
        <v>1</v>
      </c>
      <c r="W35">
        <v>0.61583700007759001</v>
      </c>
      <c r="X35" t="s">
        <v>34</v>
      </c>
      <c r="Y35">
        <v>-5</v>
      </c>
      <c r="Z35">
        <v>965506</v>
      </c>
      <c r="AA35">
        <v>1</v>
      </c>
      <c r="AB35" t="s">
        <v>35</v>
      </c>
      <c r="AC35" t="s">
        <v>36</v>
      </c>
      <c r="AE35" t="s">
        <v>37</v>
      </c>
      <c r="AF35">
        <v>59.886909563351601</v>
      </c>
      <c r="AG35" t="s">
        <v>38</v>
      </c>
    </row>
    <row r="36" spans="1:33" x14ac:dyDescent="0.35">
      <c r="A36">
        <v>34</v>
      </c>
      <c r="B36">
        <v>0</v>
      </c>
      <c r="C36">
        <v>34</v>
      </c>
      <c r="D36" t="s">
        <v>33</v>
      </c>
      <c r="E36">
        <v>0</v>
      </c>
      <c r="F36">
        <v>0.29551980015821699</v>
      </c>
      <c r="G36" t="s">
        <v>34</v>
      </c>
      <c r="H36">
        <v>0</v>
      </c>
      <c r="I36">
        <v>34</v>
      </c>
      <c r="J36">
        <v>0</v>
      </c>
      <c r="K36">
        <v>34</v>
      </c>
      <c r="L36">
        <v>0</v>
      </c>
      <c r="M36">
        <v>52.286080599995302</v>
      </c>
      <c r="P36">
        <v>52.270502500003197</v>
      </c>
      <c r="Q36">
        <v>52.286080599995302</v>
      </c>
      <c r="R36">
        <v>53.285736600169898</v>
      </c>
      <c r="S36">
        <v>53.2693508001975</v>
      </c>
      <c r="T36">
        <v>53.570156899979303</v>
      </c>
      <c r="U36" t="s">
        <v>33</v>
      </c>
      <c r="V36">
        <v>0</v>
      </c>
      <c r="W36">
        <v>0.29551980015821699</v>
      </c>
      <c r="X36" t="s">
        <v>34</v>
      </c>
      <c r="Y36">
        <v>0</v>
      </c>
      <c r="Z36">
        <v>965506</v>
      </c>
      <c r="AA36">
        <v>1</v>
      </c>
      <c r="AB36" t="s">
        <v>35</v>
      </c>
      <c r="AC36" t="s">
        <v>36</v>
      </c>
      <c r="AE36" t="s">
        <v>37</v>
      </c>
      <c r="AF36">
        <v>59.886909563351601</v>
      </c>
      <c r="AG36" t="s">
        <v>38</v>
      </c>
    </row>
    <row r="37" spans="1:33" x14ac:dyDescent="0.35">
      <c r="A37">
        <v>35</v>
      </c>
      <c r="B37">
        <v>0</v>
      </c>
      <c r="C37">
        <v>35</v>
      </c>
      <c r="D37" t="s">
        <v>39</v>
      </c>
      <c r="E37">
        <v>1</v>
      </c>
      <c r="F37">
        <v>3.0068800086155499E-2</v>
      </c>
      <c r="G37" t="s">
        <v>34</v>
      </c>
      <c r="H37">
        <v>0</v>
      </c>
      <c r="I37">
        <v>35</v>
      </c>
      <c r="J37">
        <v>0</v>
      </c>
      <c r="K37">
        <v>35</v>
      </c>
      <c r="L37">
        <v>0</v>
      </c>
      <c r="M37">
        <v>53.586056400090399</v>
      </c>
      <c r="P37">
        <v>53.5706570001784</v>
      </c>
      <c r="Q37">
        <v>53.586056400090399</v>
      </c>
      <c r="R37">
        <v>54.5858491000253</v>
      </c>
      <c r="S37">
        <v>54.5692353001795</v>
      </c>
      <c r="T37">
        <v>54.603456000098902</v>
      </c>
      <c r="U37" t="s">
        <v>39</v>
      </c>
      <c r="V37">
        <v>1</v>
      </c>
      <c r="W37">
        <v>3.0068800086155499E-2</v>
      </c>
      <c r="X37" t="s">
        <v>34</v>
      </c>
      <c r="Y37">
        <v>0</v>
      </c>
      <c r="Z37">
        <v>965506</v>
      </c>
      <c r="AA37">
        <v>1</v>
      </c>
      <c r="AB37" t="s">
        <v>35</v>
      </c>
      <c r="AC37" t="s">
        <v>36</v>
      </c>
      <c r="AE37" t="s">
        <v>37</v>
      </c>
      <c r="AF37">
        <v>59.886909563351601</v>
      </c>
      <c r="AG37" t="s">
        <v>38</v>
      </c>
    </row>
    <row r="38" spans="1:33" x14ac:dyDescent="0.35">
      <c r="A38">
        <v>36</v>
      </c>
      <c r="B38">
        <v>0</v>
      </c>
      <c r="C38">
        <v>36</v>
      </c>
      <c r="D38" t="s">
        <v>33</v>
      </c>
      <c r="E38">
        <v>0</v>
      </c>
      <c r="F38">
        <v>0.25189720001071603</v>
      </c>
      <c r="G38" t="s">
        <v>34</v>
      </c>
      <c r="H38">
        <v>0</v>
      </c>
      <c r="I38">
        <v>36</v>
      </c>
      <c r="J38">
        <v>0</v>
      </c>
      <c r="K38">
        <v>36</v>
      </c>
      <c r="L38">
        <v>0</v>
      </c>
      <c r="M38">
        <v>54.619051299989202</v>
      </c>
      <c r="P38">
        <v>54.606134100118602</v>
      </c>
      <c r="Q38">
        <v>54.619051299989202</v>
      </c>
      <c r="R38">
        <v>55.619333100039498</v>
      </c>
      <c r="S38">
        <v>55.619333100039498</v>
      </c>
      <c r="T38">
        <v>55.886374100111397</v>
      </c>
      <c r="U38" t="s">
        <v>33</v>
      </c>
      <c r="V38">
        <v>0</v>
      </c>
      <c r="W38">
        <v>0.25189720001071603</v>
      </c>
      <c r="X38" t="s">
        <v>34</v>
      </c>
      <c r="Y38">
        <v>0</v>
      </c>
      <c r="Z38">
        <v>965506</v>
      </c>
      <c r="AA38">
        <v>1</v>
      </c>
      <c r="AB38" t="s">
        <v>35</v>
      </c>
      <c r="AC38" t="s">
        <v>36</v>
      </c>
      <c r="AE38" t="s">
        <v>37</v>
      </c>
      <c r="AF38">
        <v>59.886909563351601</v>
      </c>
      <c r="AG38" t="s">
        <v>38</v>
      </c>
    </row>
    <row r="39" spans="1:33" x14ac:dyDescent="0.35">
      <c r="A39">
        <v>37</v>
      </c>
      <c r="B39">
        <v>0</v>
      </c>
      <c r="C39">
        <v>37</v>
      </c>
      <c r="D39" t="s">
        <v>33</v>
      </c>
      <c r="E39">
        <v>1</v>
      </c>
      <c r="F39">
        <v>0.64360039983876005</v>
      </c>
      <c r="G39" t="s">
        <v>34</v>
      </c>
      <c r="H39">
        <v>2</v>
      </c>
      <c r="I39">
        <v>37</v>
      </c>
      <c r="J39">
        <v>0</v>
      </c>
      <c r="K39">
        <v>37</v>
      </c>
      <c r="L39">
        <v>0</v>
      </c>
      <c r="M39">
        <v>55.902859200024899</v>
      </c>
      <c r="P39">
        <v>55.886745200026702</v>
      </c>
      <c r="Q39">
        <v>55.902859200024899</v>
      </c>
      <c r="R39">
        <v>56.902518300106699</v>
      </c>
      <c r="S39">
        <v>56.885688000125803</v>
      </c>
      <c r="T39">
        <v>57.536252000136301</v>
      </c>
      <c r="U39" t="s">
        <v>33</v>
      </c>
      <c r="V39">
        <v>1</v>
      </c>
      <c r="W39">
        <v>0.64360039983876005</v>
      </c>
      <c r="X39" t="s">
        <v>34</v>
      </c>
      <c r="Y39">
        <v>2</v>
      </c>
      <c r="Z39">
        <v>965506</v>
      </c>
      <c r="AA39">
        <v>1</v>
      </c>
      <c r="AB39" t="s">
        <v>35</v>
      </c>
      <c r="AC39" t="s">
        <v>36</v>
      </c>
      <c r="AE39" t="s">
        <v>37</v>
      </c>
      <c r="AF39">
        <v>59.886909563351601</v>
      </c>
      <c r="AG39" t="s">
        <v>38</v>
      </c>
    </row>
    <row r="40" spans="1:33" x14ac:dyDescent="0.35">
      <c r="A40">
        <v>38</v>
      </c>
      <c r="B40">
        <v>0</v>
      </c>
      <c r="C40">
        <v>38</v>
      </c>
      <c r="D40" t="s">
        <v>39</v>
      </c>
      <c r="E40">
        <v>0</v>
      </c>
      <c r="F40">
        <v>0.22646809997968301</v>
      </c>
      <c r="G40" t="s">
        <v>34</v>
      </c>
      <c r="H40">
        <v>-2</v>
      </c>
      <c r="I40">
        <v>38</v>
      </c>
      <c r="J40">
        <v>0</v>
      </c>
      <c r="K40">
        <v>38</v>
      </c>
      <c r="L40">
        <v>0</v>
      </c>
      <c r="M40">
        <v>57.552359600085701</v>
      </c>
      <c r="P40">
        <v>57.5366653001401</v>
      </c>
      <c r="Q40">
        <v>57.552359600085701</v>
      </c>
      <c r="R40">
        <v>58.552490200148803</v>
      </c>
      <c r="S40">
        <v>58.535727600101303</v>
      </c>
      <c r="T40">
        <v>58.769453200045902</v>
      </c>
      <c r="U40" t="s">
        <v>39</v>
      </c>
      <c r="V40">
        <v>0</v>
      </c>
      <c r="W40">
        <v>0.22646809997968301</v>
      </c>
      <c r="X40" t="s">
        <v>34</v>
      </c>
      <c r="Y40">
        <v>-2</v>
      </c>
      <c r="Z40">
        <v>965506</v>
      </c>
      <c r="AA40">
        <v>1</v>
      </c>
      <c r="AB40" t="s">
        <v>35</v>
      </c>
      <c r="AC40" t="s">
        <v>36</v>
      </c>
      <c r="AE40" t="s">
        <v>37</v>
      </c>
      <c r="AF40">
        <v>59.886909563351601</v>
      </c>
      <c r="AG40" t="s">
        <v>38</v>
      </c>
    </row>
    <row r="41" spans="1:33" x14ac:dyDescent="0.35">
      <c r="A41">
        <v>39</v>
      </c>
      <c r="B41">
        <v>0</v>
      </c>
      <c r="C41">
        <v>39</v>
      </c>
      <c r="D41" t="s">
        <v>39</v>
      </c>
      <c r="E41">
        <v>1</v>
      </c>
      <c r="F41">
        <v>0.38645760016515801</v>
      </c>
      <c r="G41" t="s">
        <v>34</v>
      </c>
      <c r="H41">
        <v>0</v>
      </c>
      <c r="I41">
        <v>39</v>
      </c>
      <c r="J41">
        <v>0</v>
      </c>
      <c r="K41">
        <v>39</v>
      </c>
      <c r="L41">
        <v>0</v>
      </c>
      <c r="M41">
        <v>58.785707300063201</v>
      </c>
      <c r="P41">
        <v>58.769787300145197</v>
      </c>
      <c r="Q41">
        <v>58.785707300063201</v>
      </c>
      <c r="R41">
        <v>59.785645700059803</v>
      </c>
      <c r="S41">
        <v>59.769084700150401</v>
      </c>
      <c r="T41">
        <v>60.169528100173899</v>
      </c>
      <c r="U41" t="s">
        <v>39</v>
      </c>
      <c r="V41">
        <v>1</v>
      </c>
      <c r="W41">
        <v>0.38645760016515801</v>
      </c>
      <c r="X41" t="s">
        <v>34</v>
      </c>
      <c r="Y41">
        <v>0</v>
      </c>
      <c r="Z41">
        <v>965506</v>
      </c>
      <c r="AA41">
        <v>1</v>
      </c>
      <c r="AB41" t="s">
        <v>35</v>
      </c>
      <c r="AC41" t="s">
        <v>36</v>
      </c>
      <c r="AE41" t="s">
        <v>37</v>
      </c>
      <c r="AF41">
        <v>59.886909563351601</v>
      </c>
      <c r="AG41" t="s">
        <v>38</v>
      </c>
    </row>
    <row r="42" spans="1:33" x14ac:dyDescent="0.35">
      <c r="A42">
        <v>40</v>
      </c>
      <c r="B42">
        <v>0</v>
      </c>
      <c r="C42">
        <v>40</v>
      </c>
      <c r="D42" t="s">
        <v>39</v>
      </c>
      <c r="E42">
        <v>1</v>
      </c>
      <c r="F42">
        <v>0.20551680005155501</v>
      </c>
      <c r="G42" t="s">
        <v>34</v>
      </c>
      <c r="H42">
        <v>0</v>
      </c>
      <c r="I42">
        <v>40</v>
      </c>
      <c r="J42">
        <v>0</v>
      </c>
      <c r="K42">
        <v>40</v>
      </c>
      <c r="L42">
        <v>0</v>
      </c>
      <c r="M42">
        <v>60.185295900097103</v>
      </c>
      <c r="P42">
        <v>60.1699225001502</v>
      </c>
      <c r="Q42">
        <v>60.185295900097103</v>
      </c>
      <c r="R42">
        <v>61.185752700082901</v>
      </c>
      <c r="S42">
        <v>61.168799800099798</v>
      </c>
      <c r="T42">
        <v>61.386316000018198</v>
      </c>
      <c r="U42" t="s">
        <v>39</v>
      </c>
      <c r="V42">
        <v>1</v>
      </c>
      <c r="W42">
        <v>0.20551680005155501</v>
      </c>
      <c r="X42" t="s">
        <v>34</v>
      </c>
      <c r="Y42">
        <v>0</v>
      </c>
      <c r="Z42">
        <v>965506</v>
      </c>
      <c r="AA42">
        <v>1</v>
      </c>
      <c r="AB42" t="s">
        <v>35</v>
      </c>
      <c r="AC42" t="s">
        <v>36</v>
      </c>
      <c r="AE42" t="s">
        <v>37</v>
      </c>
      <c r="AF42">
        <v>59.886909563351601</v>
      </c>
      <c r="AG42" t="s">
        <v>38</v>
      </c>
    </row>
    <row r="43" spans="1:33" x14ac:dyDescent="0.35">
      <c r="A43">
        <v>41</v>
      </c>
      <c r="B43">
        <v>0</v>
      </c>
      <c r="C43">
        <v>41</v>
      </c>
      <c r="D43" t="s">
        <v>33</v>
      </c>
      <c r="E43">
        <v>1</v>
      </c>
      <c r="F43">
        <v>0.10883209994062699</v>
      </c>
      <c r="G43" t="s">
        <v>34</v>
      </c>
      <c r="H43">
        <v>3</v>
      </c>
      <c r="I43">
        <v>41</v>
      </c>
      <c r="J43">
        <v>0</v>
      </c>
      <c r="K43">
        <v>41</v>
      </c>
      <c r="L43">
        <v>0</v>
      </c>
      <c r="M43">
        <v>61.402248800033703</v>
      </c>
      <c r="P43">
        <v>61.386975300032603</v>
      </c>
      <c r="Q43">
        <v>61.402248800033703</v>
      </c>
      <c r="R43">
        <v>62.402143600163903</v>
      </c>
      <c r="S43">
        <v>62.3888122001662</v>
      </c>
      <c r="T43">
        <v>62.5032218000851</v>
      </c>
      <c r="U43" t="s">
        <v>33</v>
      </c>
      <c r="V43">
        <v>1</v>
      </c>
      <c r="W43">
        <v>0.10883209994062699</v>
      </c>
      <c r="X43" t="s">
        <v>34</v>
      </c>
      <c r="Y43">
        <v>3</v>
      </c>
      <c r="Z43">
        <v>965506</v>
      </c>
      <c r="AA43">
        <v>1</v>
      </c>
      <c r="AB43" t="s">
        <v>35</v>
      </c>
      <c r="AC43" t="s">
        <v>36</v>
      </c>
      <c r="AE43" t="s">
        <v>37</v>
      </c>
      <c r="AF43">
        <v>59.886909563351601</v>
      </c>
      <c r="AG43" t="s">
        <v>38</v>
      </c>
    </row>
    <row r="44" spans="1:33" x14ac:dyDescent="0.35">
      <c r="A44">
        <v>42</v>
      </c>
      <c r="B44">
        <v>0</v>
      </c>
      <c r="C44">
        <v>42</v>
      </c>
      <c r="D44" t="s">
        <v>39</v>
      </c>
      <c r="E44">
        <v>0</v>
      </c>
      <c r="F44">
        <v>0.26858209981582998</v>
      </c>
      <c r="G44" t="s">
        <v>34</v>
      </c>
      <c r="H44">
        <v>-4</v>
      </c>
      <c r="I44">
        <v>42</v>
      </c>
      <c r="J44">
        <v>0</v>
      </c>
      <c r="K44">
        <v>42</v>
      </c>
      <c r="L44">
        <v>0</v>
      </c>
      <c r="M44">
        <v>62.5188232001382</v>
      </c>
      <c r="P44">
        <v>62.503821599995703</v>
      </c>
      <c r="Q44">
        <v>62.5188232001382</v>
      </c>
      <c r="R44">
        <v>63.518789699999601</v>
      </c>
      <c r="S44">
        <v>63.518789699999601</v>
      </c>
      <c r="T44">
        <v>63.803109900094498</v>
      </c>
      <c r="U44" t="s">
        <v>39</v>
      </c>
      <c r="V44">
        <v>0</v>
      </c>
      <c r="W44">
        <v>0.26858209981582998</v>
      </c>
      <c r="X44" t="s">
        <v>34</v>
      </c>
      <c r="Y44">
        <v>-4</v>
      </c>
      <c r="Z44">
        <v>965506</v>
      </c>
      <c r="AA44">
        <v>1</v>
      </c>
      <c r="AB44" t="s">
        <v>35</v>
      </c>
      <c r="AC44" t="s">
        <v>36</v>
      </c>
      <c r="AE44" t="s">
        <v>37</v>
      </c>
      <c r="AF44">
        <v>59.886909563351601</v>
      </c>
      <c r="AG44" t="s">
        <v>38</v>
      </c>
    </row>
    <row r="45" spans="1:33" x14ac:dyDescent="0.35">
      <c r="A45">
        <v>43</v>
      </c>
      <c r="B45">
        <v>0</v>
      </c>
      <c r="C45">
        <v>43</v>
      </c>
      <c r="D45" t="s">
        <v>33</v>
      </c>
      <c r="E45">
        <v>1</v>
      </c>
      <c r="F45">
        <v>0.86731559992767804</v>
      </c>
      <c r="G45" t="s">
        <v>34</v>
      </c>
      <c r="H45">
        <v>-5</v>
      </c>
      <c r="I45">
        <v>43</v>
      </c>
      <c r="J45">
        <v>0</v>
      </c>
      <c r="K45">
        <v>43</v>
      </c>
      <c r="L45">
        <v>0</v>
      </c>
      <c r="M45">
        <v>63.819281800184399</v>
      </c>
      <c r="P45">
        <v>63.803504200186502</v>
      </c>
      <c r="Q45">
        <v>63.819281800184399</v>
      </c>
      <c r="R45">
        <v>64.819124900037394</v>
      </c>
      <c r="S45">
        <v>64.819124900037394</v>
      </c>
      <c r="T45">
        <v>65.687166800023903</v>
      </c>
      <c r="U45" t="s">
        <v>33</v>
      </c>
      <c r="V45">
        <v>1</v>
      </c>
      <c r="W45">
        <v>0.86731559992767804</v>
      </c>
      <c r="X45" t="s">
        <v>34</v>
      </c>
      <c r="Y45">
        <v>-5</v>
      </c>
      <c r="Z45">
        <v>965506</v>
      </c>
      <c r="AA45">
        <v>1</v>
      </c>
      <c r="AB45" t="s">
        <v>35</v>
      </c>
      <c r="AC45" t="s">
        <v>36</v>
      </c>
      <c r="AE45" t="s">
        <v>37</v>
      </c>
      <c r="AF45">
        <v>59.886909563351601</v>
      </c>
      <c r="AG45" t="s">
        <v>38</v>
      </c>
    </row>
    <row r="46" spans="1:33" x14ac:dyDescent="0.35">
      <c r="A46">
        <v>44</v>
      </c>
      <c r="B46">
        <v>0</v>
      </c>
      <c r="C46">
        <v>44</v>
      </c>
      <c r="D46" t="s">
        <v>33</v>
      </c>
      <c r="E46">
        <v>1</v>
      </c>
      <c r="F46">
        <v>0.10414900002069701</v>
      </c>
      <c r="G46" t="s">
        <v>34</v>
      </c>
      <c r="H46">
        <v>-5</v>
      </c>
      <c r="I46">
        <v>44</v>
      </c>
      <c r="J46">
        <v>0</v>
      </c>
      <c r="K46">
        <v>44</v>
      </c>
      <c r="L46">
        <v>0</v>
      </c>
      <c r="M46">
        <v>65.701944899978102</v>
      </c>
      <c r="P46">
        <v>65.687553800176801</v>
      </c>
      <c r="Q46">
        <v>65.701944899978102</v>
      </c>
      <c r="R46">
        <v>66.702023300109403</v>
      </c>
      <c r="S46">
        <v>66.702023300109403</v>
      </c>
      <c r="T46">
        <v>66.819610400125299</v>
      </c>
      <c r="U46" t="s">
        <v>33</v>
      </c>
      <c r="V46">
        <v>1</v>
      </c>
      <c r="W46">
        <v>0.10414900002069701</v>
      </c>
      <c r="X46" t="s">
        <v>34</v>
      </c>
      <c r="Y46">
        <v>-5</v>
      </c>
      <c r="Z46">
        <v>965506</v>
      </c>
      <c r="AA46">
        <v>1</v>
      </c>
      <c r="AB46" t="s">
        <v>35</v>
      </c>
      <c r="AC46" t="s">
        <v>36</v>
      </c>
      <c r="AE46" t="s">
        <v>37</v>
      </c>
      <c r="AF46">
        <v>59.886909563351601</v>
      </c>
      <c r="AG46" t="s">
        <v>38</v>
      </c>
    </row>
    <row r="47" spans="1:33" x14ac:dyDescent="0.35">
      <c r="A47">
        <v>45</v>
      </c>
      <c r="B47">
        <v>0</v>
      </c>
      <c r="C47">
        <v>45</v>
      </c>
      <c r="D47" t="s">
        <v>33</v>
      </c>
      <c r="E47">
        <v>0</v>
      </c>
      <c r="F47">
        <v>0.24912180006504001</v>
      </c>
      <c r="G47" t="s">
        <v>34</v>
      </c>
      <c r="H47">
        <v>0</v>
      </c>
      <c r="I47">
        <v>45</v>
      </c>
      <c r="J47">
        <v>0</v>
      </c>
      <c r="K47">
        <v>45</v>
      </c>
      <c r="L47">
        <v>0</v>
      </c>
      <c r="M47">
        <v>66.835193200036798</v>
      </c>
      <c r="P47">
        <v>66.820120300166295</v>
      </c>
      <c r="Q47">
        <v>66.835193200036798</v>
      </c>
      <c r="R47">
        <v>67.834602700080694</v>
      </c>
      <c r="S47">
        <v>67.818165800068499</v>
      </c>
      <c r="T47">
        <v>68.069002800155403</v>
      </c>
      <c r="U47" t="s">
        <v>33</v>
      </c>
      <c r="V47">
        <v>0</v>
      </c>
      <c r="W47">
        <v>0.24912180006504001</v>
      </c>
      <c r="X47" t="s">
        <v>34</v>
      </c>
      <c r="Y47">
        <v>0</v>
      </c>
      <c r="Z47">
        <v>965506</v>
      </c>
      <c r="AA47">
        <v>1</v>
      </c>
      <c r="AB47" t="s">
        <v>35</v>
      </c>
      <c r="AC47" t="s">
        <v>36</v>
      </c>
      <c r="AE47" t="s">
        <v>37</v>
      </c>
      <c r="AF47">
        <v>59.886909563351601</v>
      </c>
      <c r="AG47" t="s">
        <v>38</v>
      </c>
    </row>
    <row r="48" spans="1:33" x14ac:dyDescent="0.35">
      <c r="A48">
        <v>46</v>
      </c>
      <c r="B48">
        <v>0</v>
      </c>
      <c r="C48">
        <v>46</v>
      </c>
      <c r="D48" t="s">
        <v>39</v>
      </c>
      <c r="E48">
        <v>1</v>
      </c>
      <c r="F48">
        <v>0.63452440011315003</v>
      </c>
      <c r="G48" t="s">
        <v>34</v>
      </c>
      <c r="H48">
        <v>0</v>
      </c>
      <c r="I48">
        <v>46</v>
      </c>
      <c r="J48">
        <v>0</v>
      </c>
      <c r="K48">
        <v>46</v>
      </c>
      <c r="L48">
        <v>0</v>
      </c>
      <c r="M48">
        <v>68.085074200061996</v>
      </c>
      <c r="P48">
        <v>68.0693310000933</v>
      </c>
      <c r="Q48">
        <v>68.085074200061996</v>
      </c>
      <c r="R48">
        <v>69.0854956000112</v>
      </c>
      <c r="S48">
        <v>69.068710100138503</v>
      </c>
      <c r="T48">
        <v>69.703827799996304</v>
      </c>
      <c r="U48" t="s">
        <v>39</v>
      </c>
      <c r="V48">
        <v>1</v>
      </c>
      <c r="W48">
        <v>0.63452440011315003</v>
      </c>
      <c r="X48" t="s">
        <v>34</v>
      </c>
      <c r="Y48">
        <v>0</v>
      </c>
      <c r="Z48">
        <v>965506</v>
      </c>
      <c r="AA48">
        <v>1</v>
      </c>
      <c r="AB48" t="s">
        <v>35</v>
      </c>
      <c r="AC48" t="s">
        <v>36</v>
      </c>
      <c r="AE48" t="s">
        <v>37</v>
      </c>
      <c r="AF48">
        <v>59.886909563351601</v>
      </c>
      <c r="AG48" t="s">
        <v>38</v>
      </c>
    </row>
    <row r="49" spans="1:33" x14ac:dyDescent="0.35">
      <c r="A49">
        <v>47</v>
      </c>
      <c r="B49">
        <v>0</v>
      </c>
      <c r="C49">
        <v>47</v>
      </c>
      <c r="D49" t="s">
        <v>33</v>
      </c>
      <c r="E49">
        <v>0</v>
      </c>
      <c r="F49">
        <v>4.24922998063266E-2</v>
      </c>
      <c r="G49" t="s">
        <v>34</v>
      </c>
      <c r="H49">
        <v>0</v>
      </c>
      <c r="I49">
        <v>47</v>
      </c>
      <c r="J49">
        <v>0</v>
      </c>
      <c r="K49">
        <v>47</v>
      </c>
      <c r="L49">
        <v>0</v>
      </c>
      <c r="M49">
        <v>69.718724200036306</v>
      </c>
      <c r="P49">
        <v>69.704146200092495</v>
      </c>
      <c r="Q49">
        <v>69.718724200036306</v>
      </c>
      <c r="R49">
        <v>70.718228999990899</v>
      </c>
      <c r="S49">
        <v>70.718228999990899</v>
      </c>
      <c r="T49">
        <v>70.769202900119097</v>
      </c>
      <c r="U49" t="s">
        <v>33</v>
      </c>
      <c r="V49">
        <v>0</v>
      </c>
      <c r="W49">
        <v>4.24922998063266E-2</v>
      </c>
      <c r="X49" t="s">
        <v>34</v>
      </c>
      <c r="Y49">
        <v>0</v>
      </c>
      <c r="Z49">
        <v>965506</v>
      </c>
      <c r="AA49">
        <v>1</v>
      </c>
      <c r="AB49" t="s">
        <v>35</v>
      </c>
      <c r="AC49" t="s">
        <v>36</v>
      </c>
      <c r="AE49" t="s">
        <v>37</v>
      </c>
      <c r="AF49">
        <v>59.886909563351601</v>
      </c>
      <c r="AG49" t="s">
        <v>38</v>
      </c>
    </row>
    <row r="50" spans="1:33" x14ac:dyDescent="0.35">
      <c r="A50">
        <v>48</v>
      </c>
      <c r="B50">
        <v>0</v>
      </c>
      <c r="C50">
        <v>48</v>
      </c>
      <c r="D50" t="s">
        <v>39</v>
      </c>
      <c r="E50">
        <v>0</v>
      </c>
      <c r="F50">
        <v>0.20067510008811901</v>
      </c>
      <c r="G50" t="s">
        <v>34</v>
      </c>
      <c r="H50">
        <v>4</v>
      </c>
      <c r="I50">
        <v>48</v>
      </c>
      <c r="J50">
        <v>0</v>
      </c>
      <c r="K50">
        <v>48</v>
      </c>
      <c r="L50">
        <v>0</v>
      </c>
      <c r="M50">
        <v>70.785071999998706</v>
      </c>
      <c r="P50">
        <v>70.769653000170294</v>
      </c>
      <c r="Q50">
        <v>70.785071999998706</v>
      </c>
      <c r="R50">
        <v>71.785495100077199</v>
      </c>
      <c r="S50">
        <v>71.785495100077199</v>
      </c>
      <c r="T50">
        <v>71.988306400133297</v>
      </c>
      <c r="U50" t="s">
        <v>39</v>
      </c>
      <c r="V50">
        <v>0</v>
      </c>
      <c r="W50">
        <v>0.20067510008811901</v>
      </c>
      <c r="X50" t="s">
        <v>34</v>
      </c>
      <c r="Y50">
        <v>4</v>
      </c>
      <c r="Z50">
        <v>965506</v>
      </c>
      <c r="AA50">
        <v>1</v>
      </c>
      <c r="AB50" t="s">
        <v>35</v>
      </c>
      <c r="AC50" t="s">
        <v>36</v>
      </c>
      <c r="AE50" t="s">
        <v>37</v>
      </c>
      <c r="AF50">
        <v>59.886909563351601</v>
      </c>
      <c r="AG50" t="s">
        <v>38</v>
      </c>
    </row>
    <row r="51" spans="1:33" x14ac:dyDescent="0.35">
      <c r="A51">
        <v>49</v>
      </c>
      <c r="B51">
        <v>0</v>
      </c>
      <c r="C51">
        <v>49</v>
      </c>
      <c r="D51" t="s">
        <v>39</v>
      </c>
      <c r="E51">
        <v>0</v>
      </c>
      <c r="F51">
        <v>0.61702949996106304</v>
      </c>
      <c r="G51" t="s">
        <v>34</v>
      </c>
      <c r="H51">
        <v>-5</v>
      </c>
      <c r="I51">
        <v>49</v>
      </c>
      <c r="J51">
        <v>0</v>
      </c>
      <c r="K51">
        <v>49</v>
      </c>
      <c r="L51">
        <v>0</v>
      </c>
      <c r="M51">
        <v>72.001696699997396</v>
      </c>
      <c r="P51">
        <v>71.988736700033698</v>
      </c>
      <c r="Q51">
        <v>72.001696699997396</v>
      </c>
      <c r="R51">
        <v>73.0013001000043</v>
      </c>
      <c r="S51">
        <v>73.0013001000043</v>
      </c>
      <c r="T51">
        <v>73.619594000047002</v>
      </c>
      <c r="U51" t="s">
        <v>39</v>
      </c>
      <c r="V51">
        <v>0</v>
      </c>
      <c r="W51">
        <v>0.61702949996106304</v>
      </c>
      <c r="X51" t="s">
        <v>34</v>
      </c>
      <c r="Y51">
        <v>-5</v>
      </c>
      <c r="Z51">
        <v>965506</v>
      </c>
      <c r="AA51">
        <v>1</v>
      </c>
      <c r="AB51" t="s">
        <v>35</v>
      </c>
      <c r="AC51" t="s">
        <v>36</v>
      </c>
      <c r="AE51" t="s">
        <v>37</v>
      </c>
      <c r="AF51">
        <v>59.886909563351601</v>
      </c>
      <c r="AG51" t="s">
        <v>38</v>
      </c>
    </row>
    <row r="52" spans="1:33" x14ac:dyDescent="0.35">
      <c r="A52">
        <v>50</v>
      </c>
      <c r="B52">
        <v>0</v>
      </c>
      <c r="C52">
        <v>50</v>
      </c>
      <c r="D52" t="s">
        <v>39</v>
      </c>
      <c r="E52">
        <v>0</v>
      </c>
      <c r="F52">
        <v>0.13644330017268599</v>
      </c>
      <c r="G52" t="s">
        <v>34</v>
      </c>
      <c r="H52">
        <v>3</v>
      </c>
      <c r="I52">
        <v>50</v>
      </c>
      <c r="J52">
        <v>0</v>
      </c>
      <c r="K52">
        <v>50</v>
      </c>
      <c r="L52">
        <v>0</v>
      </c>
      <c r="M52">
        <v>73.635099100181804</v>
      </c>
      <c r="P52">
        <v>73.620122200110899</v>
      </c>
      <c r="Q52">
        <v>73.635099100181804</v>
      </c>
      <c r="R52">
        <v>74.634348100051199</v>
      </c>
      <c r="S52">
        <v>74.634348100051199</v>
      </c>
      <c r="T52">
        <v>74.784850000170906</v>
      </c>
      <c r="U52" t="s">
        <v>39</v>
      </c>
      <c r="V52">
        <v>0</v>
      </c>
      <c r="W52">
        <v>0.13644330017268599</v>
      </c>
      <c r="X52" t="s">
        <v>34</v>
      </c>
      <c r="Y52">
        <v>3</v>
      </c>
      <c r="Z52">
        <v>965506</v>
      </c>
      <c r="AA52">
        <v>1</v>
      </c>
      <c r="AB52" t="s">
        <v>35</v>
      </c>
      <c r="AC52" t="s">
        <v>36</v>
      </c>
      <c r="AE52" t="s">
        <v>37</v>
      </c>
      <c r="AF52">
        <v>59.886909563351601</v>
      </c>
      <c r="AG52" t="s">
        <v>38</v>
      </c>
    </row>
    <row r="53" spans="1:33" x14ac:dyDescent="0.35">
      <c r="A53">
        <v>51</v>
      </c>
      <c r="B53">
        <v>0</v>
      </c>
      <c r="C53">
        <v>51</v>
      </c>
      <c r="D53" t="s">
        <v>39</v>
      </c>
      <c r="E53">
        <v>0</v>
      </c>
      <c r="F53">
        <v>0.63120050006546002</v>
      </c>
      <c r="G53" t="s">
        <v>34</v>
      </c>
      <c r="H53">
        <v>4</v>
      </c>
      <c r="I53">
        <v>51</v>
      </c>
      <c r="J53">
        <v>0</v>
      </c>
      <c r="K53">
        <v>51</v>
      </c>
      <c r="L53">
        <v>0</v>
      </c>
      <c r="M53">
        <v>74.800790700130094</v>
      </c>
      <c r="P53">
        <v>74.785224199993493</v>
      </c>
      <c r="Q53">
        <v>74.800790700130094</v>
      </c>
      <c r="R53">
        <v>75.801767400000202</v>
      </c>
      <c r="S53">
        <v>75.7870537000708</v>
      </c>
      <c r="T53">
        <v>76.419683400075797</v>
      </c>
      <c r="U53" t="s">
        <v>39</v>
      </c>
      <c r="V53">
        <v>0</v>
      </c>
      <c r="W53">
        <v>0.63120050006546002</v>
      </c>
      <c r="X53" t="s">
        <v>34</v>
      </c>
      <c r="Y53">
        <v>4</v>
      </c>
      <c r="Z53">
        <v>965506</v>
      </c>
      <c r="AA53">
        <v>1</v>
      </c>
      <c r="AB53" t="s">
        <v>35</v>
      </c>
      <c r="AC53" t="s">
        <v>36</v>
      </c>
      <c r="AE53" t="s">
        <v>37</v>
      </c>
      <c r="AF53">
        <v>59.886909563351601</v>
      </c>
      <c r="AG53" t="s">
        <v>38</v>
      </c>
    </row>
    <row r="54" spans="1:33" x14ac:dyDescent="0.35">
      <c r="A54">
        <v>52</v>
      </c>
      <c r="B54">
        <v>0</v>
      </c>
      <c r="C54">
        <v>52</v>
      </c>
      <c r="D54" t="s">
        <v>39</v>
      </c>
      <c r="E54">
        <v>1</v>
      </c>
      <c r="F54">
        <v>0.277377400081604</v>
      </c>
      <c r="G54" t="s">
        <v>34</v>
      </c>
      <c r="H54">
        <v>0</v>
      </c>
      <c r="I54">
        <v>52</v>
      </c>
      <c r="J54">
        <v>0</v>
      </c>
      <c r="K54">
        <v>52</v>
      </c>
      <c r="L54">
        <v>0</v>
      </c>
      <c r="M54">
        <v>76.434766100020994</v>
      </c>
      <c r="P54">
        <v>76.420061800163197</v>
      </c>
      <c r="Q54">
        <v>76.434766100020994</v>
      </c>
      <c r="R54">
        <v>77.434813500149104</v>
      </c>
      <c r="S54">
        <v>77.434813500149104</v>
      </c>
      <c r="T54">
        <v>77.719073400134207</v>
      </c>
      <c r="U54" t="s">
        <v>39</v>
      </c>
      <c r="V54">
        <v>1</v>
      </c>
      <c r="W54">
        <v>0.277377400081604</v>
      </c>
      <c r="X54" t="s">
        <v>34</v>
      </c>
      <c r="Y54">
        <v>0</v>
      </c>
      <c r="Z54">
        <v>965506</v>
      </c>
      <c r="AA54">
        <v>1</v>
      </c>
      <c r="AB54" t="s">
        <v>35</v>
      </c>
      <c r="AC54" t="s">
        <v>36</v>
      </c>
      <c r="AE54" t="s">
        <v>37</v>
      </c>
      <c r="AF54">
        <v>59.886909563351601</v>
      </c>
      <c r="AG54" t="s">
        <v>38</v>
      </c>
    </row>
    <row r="55" spans="1:33" x14ac:dyDescent="0.35">
      <c r="A55">
        <v>53</v>
      </c>
      <c r="B55">
        <v>0</v>
      </c>
      <c r="C55">
        <v>53</v>
      </c>
      <c r="D55" t="s">
        <v>33</v>
      </c>
      <c r="E55">
        <v>0</v>
      </c>
      <c r="F55">
        <v>1.2799426000565199</v>
      </c>
      <c r="G55" t="s">
        <v>34</v>
      </c>
      <c r="H55">
        <v>0</v>
      </c>
      <c r="I55">
        <v>53</v>
      </c>
      <c r="J55">
        <v>0</v>
      </c>
      <c r="K55">
        <v>53</v>
      </c>
      <c r="L55">
        <v>0</v>
      </c>
      <c r="M55">
        <v>77.734603200107799</v>
      </c>
      <c r="P55">
        <v>77.7195454000029</v>
      </c>
      <c r="Q55">
        <v>77.734603200107799</v>
      </c>
      <c r="R55">
        <v>78.734641900053205</v>
      </c>
      <c r="S55">
        <v>78.717812200076807</v>
      </c>
      <c r="T55">
        <v>80.001014800043706</v>
      </c>
      <c r="U55" t="s">
        <v>33</v>
      </c>
      <c r="V55">
        <v>0</v>
      </c>
      <c r="W55">
        <v>1.2799426000565199</v>
      </c>
      <c r="X55" t="s">
        <v>34</v>
      </c>
      <c r="Y55">
        <v>0</v>
      </c>
      <c r="Z55">
        <v>965506</v>
      </c>
      <c r="AA55">
        <v>1</v>
      </c>
      <c r="AB55" t="s">
        <v>35</v>
      </c>
      <c r="AC55" t="s">
        <v>36</v>
      </c>
      <c r="AE55" t="s">
        <v>37</v>
      </c>
      <c r="AF55">
        <v>59.886909563351601</v>
      </c>
      <c r="AG55" t="s">
        <v>38</v>
      </c>
    </row>
    <row r="56" spans="1:33" x14ac:dyDescent="0.35">
      <c r="A56">
        <v>54</v>
      </c>
      <c r="B56">
        <v>0</v>
      </c>
      <c r="C56">
        <v>54</v>
      </c>
      <c r="D56" t="s">
        <v>33</v>
      </c>
      <c r="E56">
        <v>1</v>
      </c>
      <c r="F56">
        <v>2.4072600062936499E-2</v>
      </c>
      <c r="G56" t="s">
        <v>34</v>
      </c>
      <c r="H56">
        <v>-2</v>
      </c>
      <c r="I56">
        <v>54</v>
      </c>
      <c r="J56">
        <v>0</v>
      </c>
      <c r="K56">
        <v>54</v>
      </c>
      <c r="L56">
        <v>0</v>
      </c>
      <c r="M56">
        <v>80.017394100082996</v>
      </c>
      <c r="P56">
        <v>80.0012970999814</v>
      </c>
      <c r="Q56">
        <v>80.017394100082996</v>
      </c>
      <c r="R56">
        <v>81.017888900125399</v>
      </c>
      <c r="S56">
        <v>81.001727200113194</v>
      </c>
      <c r="T56">
        <v>81.035103200003505</v>
      </c>
      <c r="U56" t="s">
        <v>33</v>
      </c>
      <c r="V56">
        <v>1</v>
      </c>
      <c r="W56">
        <v>2.4072600062936499E-2</v>
      </c>
      <c r="X56" t="s">
        <v>34</v>
      </c>
      <c r="Y56">
        <v>-2</v>
      </c>
      <c r="Z56">
        <v>965506</v>
      </c>
      <c r="AA56">
        <v>1</v>
      </c>
      <c r="AB56" t="s">
        <v>35</v>
      </c>
      <c r="AC56" t="s">
        <v>36</v>
      </c>
      <c r="AE56" t="s">
        <v>37</v>
      </c>
      <c r="AF56">
        <v>59.886909563351601</v>
      </c>
      <c r="AG56" t="s">
        <v>38</v>
      </c>
    </row>
    <row r="57" spans="1:33" x14ac:dyDescent="0.35">
      <c r="A57">
        <v>55</v>
      </c>
      <c r="B57">
        <v>0</v>
      </c>
      <c r="C57">
        <v>55</v>
      </c>
      <c r="D57" t="s">
        <v>39</v>
      </c>
      <c r="E57">
        <v>0</v>
      </c>
      <c r="F57">
        <v>0.89013089984655303</v>
      </c>
      <c r="G57" t="s">
        <v>34</v>
      </c>
      <c r="H57">
        <v>-2</v>
      </c>
      <c r="I57">
        <v>55</v>
      </c>
      <c r="J57">
        <v>0</v>
      </c>
      <c r="K57">
        <v>55</v>
      </c>
      <c r="L57">
        <v>0</v>
      </c>
      <c r="M57">
        <v>81.052421299973503</v>
      </c>
      <c r="P57">
        <v>81.035529599990696</v>
      </c>
      <c r="Q57">
        <v>81.052421299973503</v>
      </c>
      <c r="R57">
        <v>82.068350500194299</v>
      </c>
      <c r="S57">
        <v>82.034609200199995</v>
      </c>
      <c r="T57">
        <v>82.934525500051606</v>
      </c>
      <c r="U57" t="s">
        <v>39</v>
      </c>
      <c r="V57">
        <v>0</v>
      </c>
      <c r="W57">
        <v>0.89013089984655303</v>
      </c>
      <c r="X57" t="s">
        <v>34</v>
      </c>
      <c r="Y57">
        <v>-2</v>
      </c>
      <c r="Z57">
        <v>965506</v>
      </c>
      <c r="AA57">
        <v>1</v>
      </c>
      <c r="AB57" t="s">
        <v>35</v>
      </c>
      <c r="AC57" t="s">
        <v>36</v>
      </c>
      <c r="AE57" t="s">
        <v>37</v>
      </c>
      <c r="AF57">
        <v>59.886909563351601</v>
      </c>
      <c r="AG57" t="s">
        <v>38</v>
      </c>
    </row>
    <row r="58" spans="1:33" x14ac:dyDescent="0.35">
      <c r="A58">
        <v>56</v>
      </c>
      <c r="B58">
        <v>0</v>
      </c>
      <c r="C58">
        <v>56</v>
      </c>
      <c r="D58" t="s">
        <v>39</v>
      </c>
      <c r="E58">
        <v>1</v>
      </c>
      <c r="F58">
        <v>0.66339050000533395</v>
      </c>
      <c r="G58" t="s">
        <v>34</v>
      </c>
      <c r="H58">
        <v>0</v>
      </c>
      <c r="I58">
        <v>56</v>
      </c>
      <c r="J58">
        <v>0</v>
      </c>
      <c r="K58">
        <v>56</v>
      </c>
      <c r="L58">
        <v>0</v>
      </c>
      <c r="M58">
        <v>82.951094800140694</v>
      </c>
      <c r="P58">
        <v>82.934843600029097</v>
      </c>
      <c r="Q58">
        <v>82.951094800140694</v>
      </c>
      <c r="R58">
        <v>83.951490600127698</v>
      </c>
      <c r="S58">
        <v>83.934819800080703</v>
      </c>
      <c r="T58">
        <v>84.601875900058005</v>
      </c>
      <c r="U58" t="s">
        <v>39</v>
      </c>
      <c r="V58">
        <v>1</v>
      </c>
      <c r="W58">
        <v>0.66339050000533395</v>
      </c>
      <c r="X58" t="s">
        <v>34</v>
      </c>
      <c r="Y58">
        <v>0</v>
      </c>
      <c r="Z58">
        <v>965506</v>
      </c>
      <c r="AA58">
        <v>1</v>
      </c>
      <c r="AB58" t="s">
        <v>35</v>
      </c>
      <c r="AC58" t="s">
        <v>36</v>
      </c>
      <c r="AE58" t="s">
        <v>37</v>
      </c>
      <c r="AF58">
        <v>59.886909563351601</v>
      </c>
      <c r="AG58" t="s">
        <v>38</v>
      </c>
    </row>
    <row r="59" spans="1:33" x14ac:dyDescent="0.35">
      <c r="A59">
        <v>57</v>
      </c>
      <c r="B59">
        <v>0</v>
      </c>
      <c r="C59">
        <v>57</v>
      </c>
      <c r="D59" t="s">
        <v>39</v>
      </c>
      <c r="E59">
        <v>1</v>
      </c>
      <c r="F59">
        <v>0.12667610007338201</v>
      </c>
      <c r="G59" t="s">
        <v>34</v>
      </c>
      <c r="H59">
        <v>0</v>
      </c>
      <c r="I59">
        <v>57</v>
      </c>
      <c r="J59">
        <v>0</v>
      </c>
      <c r="K59">
        <v>57</v>
      </c>
      <c r="L59">
        <v>0</v>
      </c>
      <c r="M59">
        <v>84.618071499979095</v>
      </c>
      <c r="P59">
        <v>84.602246100082994</v>
      </c>
      <c r="Q59">
        <v>84.618071499979095</v>
      </c>
      <c r="R59">
        <v>85.617965300101702</v>
      </c>
      <c r="S59">
        <v>85.617965300101702</v>
      </c>
      <c r="T59">
        <v>85.751425300026298</v>
      </c>
      <c r="U59" t="s">
        <v>39</v>
      </c>
      <c r="V59">
        <v>1</v>
      </c>
      <c r="W59">
        <v>0.12667610007338201</v>
      </c>
      <c r="X59" t="s">
        <v>34</v>
      </c>
      <c r="Y59">
        <v>0</v>
      </c>
      <c r="Z59">
        <v>965506</v>
      </c>
      <c r="AA59">
        <v>1</v>
      </c>
      <c r="AB59" t="s">
        <v>35</v>
      </c>
      <c r="AC59" t="s">
        <v>36</v>
      </c>
      <c r="AE59" t="s">
        <v>37</v>
      </c>
      <c r="AF59">
        <v>59.886909563351601</v>
      </c>
      <c r="AG59" t="s">
        <v>38</v>
      </c>
    </row>
    <row r="60" spans="1:33" x14ac:dyDescent="0.35">
      <c r="A60">
        <v>58</v>
      </c>
      <c r="B60">
        <v>0</v>
      </c>
      <c r="C60">
        <v>58</v>
      </c>
      <c r="D60" t="s">
        <v>33</v>
      </c>
      <c r="E60">
        <v>1</v>
      </c>
      <c r="F60">
        <v>8.3773700054734904E-2</v>
      </c>
      <c r="G60" t="s">
        <v>34</v>
      </c>
      <c r="H60">
        <v>2</v>
      </c>
      <c r="I60">
        <v>58</v>
      </c>
      <c r="J60">
        <v>0</v>
      </c>
      <c r="K60">
        <v>58</v>
      </c>
      <c r="L60">
        <v>0</v>
      </c>
      <c r="M60">
        <v>85.767352600116197</v>
      </c>
      <c r="P60">
        <v>85.751748300157402</v>
      </c>
      <c r="Q60">
        <v>85.767352600116197</v>
      </c>
      <c r="R60">
        <v>86.7682946000713</v>
      </c>
      <c r="S60">
        <v>86.751613600179496</v>
      </c>
      <c r="T60">
        <v>86.835931200068401</v>
      </c>
      <c r="U60" t="s">
        <v>33</v>
      </c>
      <c r="V60">
        <v>1</v>
      </c>
      <c r="W60">
        <v>8.3773700054734904E-2</v>
      </c>
      <c r="X60" t="s">
        <v>34</v>
      </c>
      <c r="Y60">
        <v>2</v>
      </c>
      <c r="Z60">
        <v>965506</v>
      </c>
      <c r="AA60">
        <v>1</v>
      </c>
      <c r="AB60" t="s">
        <v>35</v>
      </c>
      <c r="AC60" t="s">
        <v>36</v>
      </c>
      <c r="AE60" t="s">
        <v>37</v>
      </c>
      <c r="AF60">
        <v>59.886909563351601</v>
      </c>
      <c r="AG60" t="s">
        <v>38</v>
      </c>
    </row>
    <row r="61" spans="1:33" x14ac:dyDescent="0.35">
      <c r="A61">
        <v>59</v>
      </c>
      <c r="B61">
        <v>0</v>
      </c>
      <c r="C61">
        <v>59</v>
      </c>
      <c r="D61" t="s">
        <v>39</v>
      </c>
      <c r="E61">
        <v>0</v>
      </c>
      <c r="F61">
        <v>4.2240899987518697E-2</v>
      </c>
      <c r="G61" t="s">
        <v>34</v>
      </c>
      <c r="H61">
        <v>1</v>
      </c>
      <c r="I61">
        <v>59</v>
      </c>
      <c r="J61">
        <v>0</v>
      </c>
      <c r="K61">
        <v>59</v>
      </c>
      <c r="L61">
        <v>0</v>
      </c>
      <c r="M61">
        <v>86.851308800047207</v>
      </c>
      <c r="P61">
        <v>86.836304800119194</v>
      </c>
      <c r="Q61">
        <v>86.851308800047207</v>
      </c>
      <c r="R61">
        <v>87.850577900186096</v>
      </c>
      <c r="S61">
        <v>87.850577900186096</v>
      </c>
      <c r="T61">
        <v>87.901909700129096</v>
      </c>
      <c r="U61" t="s">
        <v>39</v>
      </c>
      <c r="V61">
        <v>0</v>
      </c>
      <c r="W61">
        <v>4.2240899987518697E-2</v>
      </c>
      <c r="X61" t="s">
        <v>34</v>
      </c>
      <c r="Y61">
        <v>1</v>
      </c>
      <c r="Z61">
        <v>965506</v>
      </c>
      <c r="AA61">
        <v>1</v>
      </c>
      <c r="AB61" t="s">
        <v>35</v>
      </c>
      <c r="AC61" t="s">
        <v>36</v>
      </c>
      <c r="AE61" t="s">
        <v>37</v>
      </c>
      <c r="AF61">
        <v>59.886909563351601</v>
      </c>
      <c r="AG61" t="s">
        <v>38</v>
      </c>
    </row>
    <row r="62" spans="1:33" x14ac:dyDescent="0.35">
      <c r="A62">
        <v>60</v>
      </c>
      <c r="B62">
        <v>0</v>
      </c>
      <c r="C62">
        <v>60</v>
      </c>
      <c r="D62" t="s">
        <v>33</v>
      </c>
      <c r="E62">
        <v>1</v>
      </c>
      <c r="F62">
        <v>1.05683449981734</v>
      </c>
      <c r="G62" t="s">
        <v>34</v>
      </c>
      <c r="H62">
        <v>2</v>
      </c>
      <c r="I62">
        <v>60</v>
      </c>
      <c r="J62">
        <v>0</v>
      </c>
      <c r="K62">
        <v>60</v>
      </c>
      <c r="L62">
        <v>0</v>
      </c>
      <c r="M62">
        <v>87.917978600133196</v>
      </c>
      <c r="P62">
        <v>87.902406700188294</v>
      </c>
      <c r="Q62">
        <v>87.917978600133196</v>
      </c>
      <c r="R62">
        <v>88.918096099980104</v>
      </c>
      <c r="S62">
        <v>88.901285300031304</v>
      </c>
      <c r="T62">
        <v>89.968382500112</v>
      </c>
      <c r="U62" t="s">
        <v>33</v>
      </c>
      <c r="V62">
        <v>1</v>
      </c>
      <c r="W62">
        <v>1.05683449981734</v>
      </c>
      <c r="X62" t="s">
        <v>34</v>
      </c>
      <c r="Y62">
        <v>2</v>
      </c>
      <c r="Z62">
        <v>965506</v>
      </c>
      <c r="AA62">
        <v>1</v>
      </c>
      <c r="AB62" t="s">
        <v>35</v>
      </c>
      <c r="AC62" t="s">
        <v>36</v>
      </c>
      <c r="AE62" t="s">
        <v>37</v>
      </c>
      <c r="AF62">
        <v>59.886909563351601</v>
      </c>
      <c r="AG62" t="s">
        <v>38</v>
      </c>
    </row>
    <row r="63" spans="1:33" x14ac:dyDescent="0.35">
      <c r="A63">
        <v>61</v>
      </c>
      <c r="B63">
        <v>0</v>
      </c>
      <c r="C63">
        <v>61</v>
      </c>
      <c r="D63" t="s">
        <v>39</v>
      </c>
      <c r="E63">
        <v>0</v>
      </c>
      <c r="F63">
        <v>0.50416029989719302</v>
      </c>
      <c r="G63" t="s">
        <v>34</v>
      </c>
      <c r="H63">
        <v>-3</v>
      </c>
      <c r="I63">
        <v>61</v>
      </c>
      <c r="J63">
        <v>0</v>
      </c>
      <c r="K63">
        <v>61</v>
      </c>
      <c r="L63">
        <v>0</v>
      </c>
      <c r="M63">
        <v>89.984257900155995</v>
      </c>
      <c r="P63">
        <v>89.968852700199903</v>
      </c>
      <c r="Q63">
        <v>89.984257900155995</v>
      </c>
      <c r="R63">
        <v>90.983708400046396</v>
      </c>
      <c r="S63">
        <v>90.983708400046396</v>
      </c>
      <c r="T63">
        <v>91.501528100110505</v>
      </c>
      <c r="U63" t="s">
        <v>39</v>
      </c>
      <c r="V63">
        <v>0</v>
      </c>
      <c r="W63">
        <v>0.50416029989719302</v>
      </c>
      <c r="X63" t="s">
        <v>34</v>
      </c>
      <c r="Y63">
        <v>-3</v>
      </c>
      <c r="Z63">
        <v>965506</v>
      </c>
      <c r="AA63">
        <v>1</v>
      </c>
      <c r="AB63" t="s">
        <v>35</v>
      </c>
      <c r="AC63" t="s">
        <v>36</v>
      </c>
      <c r="AE63" t="s">
        <v>37</v>
      </c>
      <c r="AF63">
        <v>59.886909563351601</v>
      </c>
      <c r="AG63" t="s">
        <v>38</v>
      </c>
    </row>
    <row r="64" spans="1:33" x14ac:dyDescent="0.35">
      <c r="A64">
        <v>62</v>
      </c>
      <c r="B64">
        <v>0</v>
      </c>
      <c r="C64">
        <v>62</v>
      </c>
      <c r="D64" t="s">
        <v>39</v>
      </c>
      <c r="E64">
        <v>0</v>
      </c>
      <c r="F64">
        <v>0.41085260012187003</v>
      </c>
      <c r="G64" t="s">
        <v>34</v>
      </c>
      <c r="H64">
        <v>3</v>
      </c>
      <c r="I64">
        <v>62</v>
      </c>
      <c r="J64">
        <v>0</v>
      </c>
      <c r="K64">
        <v>62</v>
      </c>
      <c r="L64">
        <v>0</v>
      </c>
      <c r="M64">
        <v>91.517507000127793</v>
      </c>
      <c r="P64">
        <v>91.5020712001714</v>
      </c>
      <c r="Q64">
        <v>91.517507000127793</v>
      </c>
      <c r="R64">
        <v>92.517894100164995</v>
      </c>
      <c r="S64">
        <v>92.501078400062397</v>
      </c>
      <c r="T64">
        <v>92.918361800024201</v>
      </c>
      <c r="U64" t="s">
        <v>39</v>
      </c>
      <c r="V64">
        <v>0</v>
      </c>
      <c r="W64">
        <v>0.41085260012187003</v>
      </c>
      <c r="X64" t="s">
        <v>34</v>
      </c>
      <c r="Y64">
        <v>3</v>
      </c>
      <c r="Z64">
        <v>965506</v>
      </c>
      <c r="AA64">
        <v>1</v>
      </c>
      <c r="AB64" t="s">
        <v>35</v>
      </c>
      <c r="AC64" t="s">
        <v>36</v>
      </c>
      <c r="AE64" t="s">
        <v>37</v>
      </c>
      <c r="AF64">
        <v>59.886909563351601</v>
      </c>
      <c r="AG64" t="s">
        <v>38</v>
      </c>
    </row>
    <row r="65" spans="1:33" x14ac:dyDescent="0.35">
      <c r="A65">
        <v>63</v>
      </c>
      <c r="B65">
        <v>0</v>
      </c>
      <c r="C65">
        <v>63</v>
      </c>
      <c r="D65" t="s">
        <v>33</v>
      </c>
      <c r="E65">
        <v>1</v>
      </c>
      <c r="F65">
        <v>0.75920159998349801</v>
      </c>
      <c r="G65" t="s">
        <v>34</v>
      </c>
      <c r="H65">
        <v>4</v>
      </c>
      <c r="I65">
        <v>63</v>
      </c>
      <c r="J65">
        <v>0</v>
      </c>
      <c r="K65">
        <v>63</v>
      </c>
      <c r="L65">
        <v>0</v>
      </c>
      <c r="M65">
        <v>92.933592800050903</v>
      </c>
      <c r="P65">
        <v>92.918839000165406</v>
      </c>
      <c r="Q65">
        <v>92.933592800050903</v>
      </c>
      <c r="R65">
        <v>93.933815099997403</v>
      </c>
      <c r="S65">
        <v>93.917425899999202</v>
      </c>
      <c r="T65">
        <v>94.684958399971904</v>
      </c>
      <c r="U65" t="s">
        <v>33</v>
      </c>
      <c r="V65">
        <v>1</v>
      </c>
      <c r="W65">
        <v>0.75920159998349801</v>
      </c>
      <c r="X65" t="s">
        <v>34</v>
      </c>
      <c r="Y65">
        <v>4</v>
      </c>
      <c r="Z65">
        <v>965506</v>
      </c>
      <c r="AA65">
        <v>1</v>
      </c>
      <c r="AB65" t="s">
        <v>35</v>
      </c>
      <c r="AC65" t="s">
        <v>36</v>
      </c>
      <c r="AE65" t="s">
        <v>37</v>
      </c>
      <c r="AF65">
        <v>59.886909563351601</v>
      </c>
      <c r="AG65" t="s">
        <v>38</v>
      </c>
    </row>
    <row r="66" spans="1:33" x14ac:dyDescent="0.35">
      <c r="A66">
        <v>64</v>
      </c>
      <c r="B66">
        <v>0</v>
      </c>
      <c r="C66">
        <v>64</v>
      </c>
      <c r="D66" t="s">
        <v>39</v>
      </c>
      <c r="E66">
        <v>0</v>
      </c>
      <c r="F66">
        <v>6.2494399957358802E-2</v>
      </c>
      <c r="G66" t="s">
        <v>34</v>
      </c>
      <c r="H66">
        <v>1</v>
      </c>
      <c r="I66">
        <v>64</v>
      </c>
      <c r="J66">
        <v>0</v>
      </c>
      <c r="K66">
        <v>64</v>
      </c>
      <c r="L66">
        <v>0</v>
      </c>
      <c r="M66">
        <v>94.700584799982593</v>
      </c>
      <c r="P66">
        <v>94.685487300157504</v>
      </c>
      <c r="Q66">
        <v>94.700584799982593</v>
      </c>
      <c r="R66">
        <v>95.700089700054306</v>
      </c>
      <c r="S66">
        <v>95.700089700054306</v>
      </c>
      <c r="T66">
        <v>95.766993000171993</v>
      </c>
      <c r="U66" t="s">
        <v>39</v>
      </c>
      <c r="V66">
        <v>0</v>
      </c>
      <c r="W66">
        <v>6.2494399957358802E-2</v>
      </c>
      <c r="X66" t="s">
        <v>34</v>
      </c>
      <c r="Y66">
        <v>1</v>
      </c>
      <c r="Z66">
        <v>965506</v>
      </c>
      <c r="AA66">
        <v>1</v>
      </c>
      <c r="AB66" t="s">
        <v>35</v>
      </c>
      <c r="AC66" t="s">
        <v>36</v>
      </c>
      <c r="AE66" t="s">
        <v>37</v>
      </c>
      <c r="AF66">
        <v>59.886909563351601</v>
      </c>
      <c r="AG66" t="s">
        <v>38</v>
      </c>
    </row>
    <row r="67" spans="1:33" x14ac:dyDescent="0.35">
      <c r="A67">
        <v>65</v>
      </c>
      <c r="B67">
        <v>0</v>
      </c>
      <c r="C67">
        <v>65</v>
      </c>
      <c r="D67" t="s">
        <v>33</v>
      </c>
      <c r="E67">
        <v>0</v>
      </c>
      <c r="F67">
        <v>9.3994000926613808E-3</v>
      </c>
      <c r="G67" t="s">
        <v>34</v>
      </c>
      <c r="H67">
        <v>0</v>
      </c>
      <c r="I67">
        <v>65</v>
      </c>
      <c r="J67">
        <v>0</v>
      </c>
      <c r="K67">
        <v>65</v>
      </c>
      <c r="L67">
        <v>0</v>
      </c>
      <c r="M67">
        <v>95.783161700004698</v>
      </c>
      <c r="P67">
        <v>95.767238000174899</v>
      </c>
      <c r="Q67">
        <v>95.783161700004698</v>
      </c>
      <c r="R67">
        <v>96.783486300147999</v>
      </c>
      <c r="S67">
        <v>96.7674354000482</v>
      </c>
      <c r="T67">
        <v>96.784211900085197</v>
      </c>
      <c r="U67" t="s">
        <v>33</v>
      </c>
      <c r="V67">
        <v>0</v>
      </c>
      <c r="W67">
        <v>9.3994000926613808E-3</v>
      </c>
      <c r="X67" t="s">
        <v>34</v>
      </c>
      <c r="Y67">
        <v>0</v>
      </c>
      <c r="Z67">
        <v>965506</v>
      </c>
      <c r="AA67">
        <v>1</v>
      </c>
      <c r="AB67" t="s">
        <v>35</v>
      </c>
      <c r="AC67" t="s">
        <v>36</v>
      </c>
      <c r="AE67" t="s">
        <v>37</v>
      </c>
      <c r="AF67">
        <v>59.886909563351601</v>
      </c>
      <c r="AG67" t="s">
        <v>38</v>
      </c>
    </row>
    <row r="68" spans="1:33" x14ac:dyDescent="0.35">
      <c r="A68">
        <v>66</v>
      </c>
      <c r="B68">
        <v>0</v>
      </c>
      <c r="C68">
        <v>66</v>
      </c>
      <c r="D68" t="s">
        <v>39</v>
      </c>
      <c r="E68">
        <v>1</v>
      </c>
      <c r="F68">
        <v>0.69139930000528604</v>
      </c>
      <c r="G68" t="s">
        <v>34</v>
      </c>
      <c r="H68">
        <v>0</v>
      </c>
      <c r="I68">
        <v>66</v>
      </c>
      <c r="J68">
        <v>0</v>
      </c>
      <c r="K68">
        <v>66</v>
      </c>
      <c r="L68">
        <v>0</v>
      </c>
      <c r="M68">
        <v>96.800520400050999</v>
      </c>
      <c r="P68">
        <v>96.784638300072402</v>
      </c>
      <c r="Q68">
        <v>96.800520400050999</v>
      </c>
      <c r="R68">
        <v>97.800891700200694</v>
      </c>
      <c r="S68">
        <v>97.783741000108407</v>
      </c>
      <c r="T68">
        <v>98.484478899976196</v>
      </c>
      <c r="U68" t="s">
        <v>39</v>
      </c>
      <c r="V68">
        <v>1</v>
      </c>
      <c r="W68">
        <v>0.69139930000528604</v>
      </c>
      <c r="X68" t="s">
        <v>34</v>
      </c>
      <c r="Y68">
        <v>0</v>
      </c>
      <c r="Z68">
        <v>965506</v>
      </c>
      <c r="AA68">
        <v>1</v>
      </c>
      <c r="AB68" t="s">
        <v>35</v>
      </c>
      <c r="AC68" t="s">
        <v>36</v>
      </c>
      <c r="AE68" t="s">
        <v>37</v>
      </c>
      <c r="AF68">
        <v>59.886909563351601</v>
      </c>
      <c r="AG68" t="s">
        <v>38</v>
      </c>
    </row>
    <row r="69" spans="1:33" x14ac:dyDescent="0.35">
      <c r="A69">
        <v>67</v>
      </c>
      <c r="B69">
        <v>0</v>
      </c>
      <c r="C69">
        <v>67</v>
      </c>
      <c r="D69" t="s">
        <v>39</v>
      </c>
      <c r="E69">
        <v>1</v>
      </c>
      <c r="F69">
        <v>1.02129300008527</v>
      </c>
      <c r="G69" t="s">
        <v>34</v>
      </c>
      <c r="H69">
        <v>0</v>
      </c>
      <c r="I69">
        <v>67</v>
      </c>
      <c r="J69">
        <v>0</v>
      </c>
      <c r="K69">
        <v>67</v>
      </c>
      <c r="L69">
        <v>0</v>
      </c>
      <c r="M69">
        <v>98.501520900055695</v>
      </c>
      <c r="P69">
        <v>98.484905800083595</v>
      </c>
      <c r="Q69">
        <v>98.501520900055695</v>
      </c>
      <c r="R69">
        <v>99.500386900035593</v>
      </c>
      <c r="S69">
        <v>99.484143000095997</v>
      </c>
      <c r="T69">
        <v>100.517900800099</v>
      </c>
      <c r="U69" t="s">
        <v>39</v>
      </c>
      <c r="V69">
        <v>1</v>
      </c>
      <c r="W69">
        <v>1.02129300008527</v>
      </c>
      <c r="X69" t="s">
        <v>34</v>
      </c>
      <c r="Y69">
        <v>0</v>
      </c>
      <c r="Z69">
        <v>965506</v>
      </c>
      <c r="AA69">
        <v>1</v>
      </c>
      <c r="AB69" t="s">
        <v>35</v>
      </c>
      <c r="AC69" t="s">
        <v>36</v>
      </c>
      <c r="AE69" t="s">
        <v>37</v>
      </c>
      <c r="AF69">
        <v>59.886909563351601</v>
      </c>
      <c r="AG69" t="s">
        <v>38</v>
      </c>
    </row>
    <row r="70" spans="1:33" x14ac:dyDescent="0.35">
      <c r="A70">
        <v>68</v>
      </c>
      <c r="B70">
        <v>0</v>
      </c>
      <c r="C70">
        <v>68</v>
      </c>
      <c r="D70" t="s">
        <v>39</v>
      </c>
      <c r="E70">
        <v>0</v>
      </c>
      <c r="F70">
        <v>9.5472400076687294E-2</v>
      </c>
      <c r="G70" t="s">
        <v>34</v>
      </c>
      <c r="H70">
        <v>4</v>
      </c>
      <c r="I70">
        <v>68</v>
      </c>
      <c r="J70">
        <v>0</v>
      </c>
      <c r="K70">
        <v>68</v>
      </c>
      <c r="L70">
        <v>0</v>
      </c>
      <c r="M70">
        <v>100.533643200062</v>
      </c>
      <c r="P70">
        <v>100.518335800152</v>
      </c>
      <c r="Q70">
        <v>100.533643200062</v>
      </c>
      <c r="R70">
        <v>101.533679400105</v>
      </c>
      <c r="S70">
        <v>101.516943600028</v>
      </c>
      <c r="T70">
        <v>101.617806700058</v>
      </c>
      <c r="U70" t="s">
        <v>39</v>
      </c>
      <c r="V70">
        <v>0</v>
      </c>
      <c r="W70">
        <v>9.5472400076687294E-2</v>
      </c>
      <c r="X70" t="s">
        <v>34</v>
      </c>
      <c r="Y70">
        <v>4</v>
      </c>
      <c r="Z70">
        <v>965506</v>
      </c>
      <c r="AA70">
        <v>1</v>
      </c>
      <c r="AB70" t="s">
        <v>35</v>
      </c>
      <c r="AC70" t="s">
        <v>36</v>
      </c>
      <c r="AE70" t="s">
        <v>37</v>
      </c>
      <c r="AF70">
        <v>59.886909563351601</v>
      </c>
      <c r="AG70" t="s">
        <v>38</v>
      </c>
    </row>
    <row r="71" spans="1:33" x14ac:dyDescent="0.35">
      <c r="A71">
        <v>69</v>
      </c>
      <c r="B71">
        <v>0</v>
      </c>
      <c r="C71">
        <v>69</v>
      </c>
      <c r="D71" t="s">
        <v>39</v>
      </c>
      <c r="E71">
        <v>0</v>
      </c>
      <c r="F71">
        <v>8.6161700077354894E-2</v>
      </c>
      <c r="G71" t="s">
        <v>34</v>
      </c>
      <c r="H71">
        <v>-5</v>
      </c>
      <c r="I71">
        <v>69</v>
      </c>
      <c r="J71">
        <v>0</v>
      </c>
      <c r="K71">
        <v>69</v>
      </c>
      <c r="L71">
        <v>0</v>
      </c>
      <c r="M71">
        <v>101.63364090002101</v>
      </c>
      <c r="P71">
        <v>101.61821890017001</v>
      </c>
      <c r="Q71">
        <v>101.63364090002101</v>
      </c>
      <c r="R71">
        <v>102.633629500167</v>
      </c>
      <c r="S71">
        <v>102.617102700052</v>
      </c>
      <c r="T71">
        <v>102.719295800197</v>
      </c>
      <c r="U71" t="s">
        <v>39</v>
      </c>
      <c r="V71">
        <v>0</v>
      </c>
      <c r="W71">
        <v>8.6161700077354894E-2</v>
      </c>
      <c r="X71" t="s">
        <v>34</v>
      </c>
      <c r="Y71">
        <v>-5</v>
      </c>
      <c r="Z71">
        <v>965506</v>
      </c>
      <c r="AA71">
        <v>1</v>
      </c>
      <c r="AB71" t="s">
        <v>35</v>
      </c>
      <c r="AC71" t="s">
        <v>36</v>
      </c>
      <c r="AE71" t="s">
        <v>37</v>
      </c>
      <c r="AF71">
        <v>59.886909563351601</v>
      </c>
      <c r="AG71" t="s">
        <v>38</v>
      </c>
    </row>
    <row r="72" spans="1:33" x14ac:dyDescent="0.35">
      <c r="A72">
        <v>70</v>
      </c>
      <c r="B72">
        <v>0</v>
      </c>
      <c r="C72">
        <v>70</v>
      </c>
      <c r="D72" t="s">
        <v>33</v>
      </c>
      <c r="E72">
        <v>1</v>
      </c>
      <c r="F72">
        <v>1.18150099995546</v>
      </c>
      <c r="G72" t="s">
        <v>34</v>
      </c>
      <c r="H72">
        <v>3</v>
      </c>
      <c r="I72">
        <v>70</v>
      </c>
      <c r="J72">
        <v>0</v>
      </c>
      <c r="K72">
        <v>70</v>
      </c>
      <c r="L72">
        <v>0</v>
      </c>
      <c r="M72">
        <v>102.733444700017</v>
      </c>
      <c r="P72">
        <v>102.71967540006101</v>
      </c>
      <c r="Q72">
        <v>102.733444700017</v>
      </c>
      <c r="R72">
        <v>103.733748700004</v>
      </c>
      <c r="S72">
        <v>103.733748700004</v>
      </c>
      <c r="T72">
        <v>104.91745180008</v>
      </c>
      <c r="U72" t="s">
        <v>33</v>
      </c>
      <c r="V72">
        <v>1</v>
      </c>
      <c r="W72">
        <v>1.18150099995546</v>
      </c>
      <c r="X72" t="s">
        <v>34</v>
      </c>
      <c r="Y72">
        <v>3</v>
      </c>
      <c r="Z72">
        <v>965506</v>
      </c>
      <c r="AA72">
        <v>1</v>
      </c>
      <c r="AB72" t="s">
        <v>35</v>
      </c>
      <c r="AC72" t="s">
        <v>36</v>
      </c>
      <c r="AE72" t="s">
        <v>37</v>
      </c>
      <c r="AF72">
        <v>59.886909563351601</v>
      </c>
      <c r="AG72" t="s">
        <v>38</v>
      </c>
    </row>
    <row r="73" spans="1:33" x14ac:dyDescent="0.35">
      <c r="A73">
        <v>71</v>
      </c>
      <c r="B73">
        <v>0</v>
      </c>
      <c r="C73">
        <v>71</v>
      </c>
      <c r="D73" t="s">
        <v>39</v>
      </c>
      <c r="E73">
        <v>1</v>
      </c>
      <c r="F73">
        <v>0.95206989999860503</v>
      </c>
      <c r="G73" t="s">
        <v>34</v>
      </c>
      <c r="H73">
        <v>0</v>
      </c>
      <c r="I73">
        <v>71</v>
      </c>
      <c r="J73">
        <v>0</v>
      </c>
      <c r="K73">
        <v>71</v>
      </c>
      <c r="L73">
        <v>0</v>
      </c>
      <c r="M73">
        <v>104.933365500066</v>
      </c>
      <c r="P73">
        <v>104.91789380018599</v>
      </c>
      <c r="Q73">
        <v>104.933365500066</v>
      </c>
      <c r="R73">
        <v>105.933853100053</v>
      </c>
      <c r="S73">
        <v>105.933853100053</v>
      </c>
      <c r="T73">
        <v>106.900892500067</v>
      </c>
      <c r="U73" t="s">
        <v>39</v>
      </c>
      <c r="V73">
        <v>1</v>
      </c>
      <c r="W73">
        <v>0.95206989999860503</v>
      </c>
      <c r="X73" t="s">
        <v>34</v>
      </c>
      <c r="Y73">
        <v>0</v>
      </c>
      <c r="Z73">
        <v>965506</v>
      </c>
      <c r="AA73">
        <v>1</v>
      </c>
      <c r="AB73" t="s">
        <v>35</v>
      </c>
      <c r="AC73" t="s">
        <v>36</v>
      </c>
      <c r="AE73" t="s">
        <v>37</v>
      </c>
      <c r="AF73">
        <v>59.886909563351601</v>
      </c>
      <c r="AG73" t="s">
        <v>38</v>
      </c>
    </row>
    <row r="74" spans="1:33" x14ac:dyDescent="0.35">
      <c r="A74">
        <v>72</v>
      </c>
      <c r="B74">
        <v>0</v>
      </c>
      <c r="C74">
        <v>72</v>
      </c>
      <c r="D74" t="s">
        <v>39</v>
      </c>
      <c r="E74">
        <v>1</v>
      </c>
      <c r="F74">
        <v>0.75658849999308497</v>
      </c>
      <c r="G74" t="s">
        <v>34</v>
      </c>
      <c r="H74">
        <v>0</v>
      </c>
      <c r="I74">
        <v>72</v>
      </c>
      <c r="J74">
        <v>0</v>
      </c>
      <c r="K74">
        <v>72</v>
      </c>
      <c r="L74">
        <v>0</v>
      </c>
      <c r="M74">
        <v>106.916686100186</v>
      </c>
      <c r="P74">
        <v>106.90126970014499</v>
      </c>
      <c r="Q74">
        <v>106.916686100186</v>
      </c>
      <c r="R74">
        <v>107.917034800164</v>
      </c>
      <c r="S74">
        <v>107.917034800164</v>
      </c>
      <c r="T74">
        <v>108.684079900151</v>
      </c>
      <c r="U74" t="s">
        <v>39</v>
      </c>
      <c r="V74">
        <v>1</v>
      </c>
      <c r="W74">
        <v>0.75658849999308497</v>
      </c>
      <c r="X74" t="s">
        <v>34</v>
      </c>
      <c r="Y74">
        <v>0</v>
      </c>
      <c r="Z74">
        <v>965506</v>
      </c>
      <c r="AA74">
        <v>1</v>
      </c>
      <c r="AB74" t="s">
        <v>35</v>
      </c>
      <c r="AC74" t="s">
        <v>36</v>
      </c>
      <c r="AE74" t="s">
        <v>37</v>
      </c>
      <c r="AF74">
        <v>59.886909563351601</v>
      </c>
      <c r="AG74" t="s">
        <v>38</v>
      </c>
    </row>
    <row r="75" spans="1:33" x14ac:dyDescent="0.35">
      <c r="A75">
        <v>73</v>
      </c>
      <c r="B75">
        <v>0</v>
      </c>
      <c r="C75">
        <v>73</v>
      </c>
      <c r="D75" t="s">
        <v>39</v>
      </c>
      <c r="E75">
        <v>1</v>
      </c>
      <c r="F75">
        <v>0.53852379997260802</v>
      </c>
      <c r="G75" t="s">
        <v>34</v>
      </c>
      <c r="H75">
        <v>0</v>
      </c>
      <c r="I75">
        <v>73</v>
      </c>
      <c r="J75">
        <v>0</v>
      </c>
      <c r="K75">
        <v>73</v>
      </c>
      <c r="L75">
        <v>0</v>
      </c>
      <c r="M75">
        <v>108.700297500006</v>
      </c>
      <c r="P75">
        <v>108.684472500113</v>
      </c>
      <c r="Q75">
        <v>108.700297500006</v>
      </c>
      <c r="R75">
        <v>109.70035649998999</v>
      </c>
      <c r="S75">
        <v>109.683250800007</v>
      </c>
      <c r="T75">
        <v>110.234039400005</v>
      </c>
      <c r="U75" t="s">
        <v>39</v>
      </c>
      <c r="V75">
        <v>1</v>
      </c>
      <c r="W75">
        <v>0.53852379997260802</v>
      </c>
      <c r="X75" t="s">
        <v>34</v>
      </c>
      <c r="Y75">
        <v>0</v>
      </c>
      <c r="Z75">
        <v>965506</v>
      </c>
      <c r="AA75">
        <v>1</v>
      </c>
      <c r="AB75" t="s">
        <v>35</v>
      </c>
      <c r="AC75" t="s">
        <v>36</v>
      </c>
      <c r="AE75" t="s">
        <v>37</v>
      </c>
      <c r="AF75">
        <v>59.886909563351601</v>
      </c>
      <c r="AG75" t="s">
        <v>38</v>
      </c>
    </row>
    <row r="76" spans="1:33" x14ac:dyDescent="0.35">
      <c r="A76">
        <v>74</v>
      </c>
      <c r="B76">
        <v>0</v>
      </c>
      <c r="C76">
        <v>74</v>
      </c>
      <c r="D76" t="s">
        <v>33</v>
      </c>
      <c r="E76">
        <v>1</v>
      </c>
      <c r="F76">
        <v>0.63244060007855296</v>
      </c>
      <c r="G76" t="s">
        <v>34</v>
      </c>
      <c r="H76">
        <v>2</v>
      </c>
      <c r="I76">
        <v>74</v>
      </c>
      <c r="J76">
        <v>0</v>
      </c>
      <c r="K76">
        <v>74</v>
      </c>
      <c r="L76">
        <v>0</v>
      </c>
      <c r="M76">
        <v>110.25011770008101</v>
      </c>
      <c r="P76">
        <v>110.234475400066</v>
      </c>
      <c r="Q76">
        <v>110.25011770008101</v>
      </c>
      <c r="R76">
        <v>111.24981439998299</v>
      </c>
      <c r="S76">
        <v>111.233087500091</v>
      </c>
      <c r="T76">
        <v>111.866891000187</v>
      </c>
      <c r="U76" t="s">
        <v>33</v>
      </c>
      <c r="V76">
        <v>1</v>
      </c>
      <c r="W76">
        <v>0.63244060007855296</v>
      </c>
      <c r="X76" t="s">
        <v>34</v>
      </c>
      <c r="Y76">
        <v>2</v>
      </c>
      <c r="Z76">
        <v>965506</v>
      </c>
      <c r="AA76">
        <v>1</v>
      </c>
      <c r="AB76" t="s">
        <v>35</v>
      </c>
      <c r="AC76" t="s">
        <v>36</v>
      </c>
      <c r="AE76" t="s">
        <v>37</v>
      </c>
      <c r="AF76">
        <v>59.886909563351601</v>
      </c>
      <c r="AG76" t="s">
        <v>38</v>
      </c>
    </row>
    <row r="77" spans="1:33" x14ac:dyDescent="0.35">
      <c r="A77">
        <v>75</v>
      </c>
      <c r="B77">
        <v>0</v>
      </c>
      <c r="C77">
        <v>75</v>
      </c>
      <c r="D77" t="s">
        <v>33</v>
      </c>
      <c r="E77">
        <v>0</v>
      </c>
      <c r="F77">
        <v>0.923545599915087</v>
      </c>
      <c r="G77" t="s">
        <v>34</v>
      </c>
      <c r="H77">
        <v>0</v>
      </c>
      <c r="I77">
        <v>75</v>
      </c>
      <c r="J77">
        <v>0</v>
      </c>
      <c r="K77">
        <v>75</v>
      </c>
      <c r="L77">
        <v>0</v>
      </c>
      <c r="M77">
        <v>111.88292420003501</v>
      </c>
      <c r="P77">
        <v>111.86722440016401</v>
      </c>
      <c r="Q77">
        <v>111.88292420003501</v>
      </c>
      <c r="R77">
        <v>112.88288400019501</v>
      </c>
      <c r="S77">
        <v>112.86662230012</v>
      </c>
      <c r="T77">
        <v>113.80077740014499</v>
      </c>
      <c r="U77" t="s">
        <v>33</v>
      </c>
      <c r="V77">
        <v>0</v>
      </c>
      <c r="W77">
        <v>0.923545599915087</v>
      </c>
      <c r="X77" t="s">
        <v>34</v>
      </c>
      <c r="Y77">
        <v>0</v>
      </c>
      <c r="Z77">
        <v>965506</v>
      </c>
      <c r="AA77">
        <v>1</v>
      </c>
      <c r="AB77" t="s">
        <v>35</v>
      </c>
      <c r="AC77" t="s">
        <v>36</v>
      </c>
      <c r="AE77" t="s">
        <v>37</v>
      </c>
      <c r="AF77">
        <v>59.886909563351601</v>
      </c>
      <c r="AG77" t="s">
        <v>38</v>
      </c>
    </row>
    <row r="78" spans="1:33" x14ac:dyDescent="0.35">
      <c r="A78">
        <v>76</v>
      </c>
      <c r="B78">
        <v>0</v>
      </c>
      <c r="C78">
        <v>76</v>
      </c>
      <c r="D78" t="s">
        <v>39</v>
      </c>
      <c r="E78">
        <v>0</v>
      </c>
      <c r="F78">
        <v>8.3609099965542499E-2</v>
      </c>
      <c r="G78" t="s">
        <v>34</v>
      </c>
      <c r="H78">
        <v>-3</v>
      </c>
      <c r="I78">
        <v>76</v>
      </c>
      <c r="J78">
        <v>0</v>
      </c>
      <c r="K78">
        <v>76</v>
      </c>
      <c r="L78">
        <v>0</v>
      </c>
      <c r="M78">
        <v>113.816646800143</v>
      </c>
      <c r="P78">
        <v>113.801192600047</v>
      </c>
      <c r="Q78">
        <v>113.816646800143</v>
      </c>
      <c r="R78">
        <v>114.81654520006801</v>
      </c>
      <c r="S78">
        <v>114.81654520006801</v>
      </c>
      <c r="T78">
        <v>114.900847300188</v>
      </c>
      <c r="U78" t="s">
        <v>39</v>
      </c>
      <c r="V78">
        <v>0</v>
      </c>
      <c r="W78">
        <v>8.3609099965542499E-2</v>
      </c>
      <c r="X78" t="s">
        <v>34</v>
      </c>
      <c r="Y78">
        <v>-3</v>
      </c>
      <c r="Z78">
        <v>965506</v>
      </c>
      <c r="AA78">
        <v>1</v>
      </c>
      <c r="AB78" t="s">
        <v>35</v>
      </c>
      <c r="AC78" t="s">
        <v>36</v>
      </c>
      <c r="AE78" t="s">
        <v>37</v>
      </c>
      <c r="AF78">
        <v>59.886909563351601</v>
      </c>
      <c r="AG78" t="s">
        <v>38</v>
      </c>
    </row>
    <row r="79" spans="1:33" x14ac:dyDescent="0.35">
      <c r="A79">
        <v>77</v>
      </c>
      <c r="B79">
        <v>0</v>
      </c>
      <c r="C79">
        <v>77</v>
      </c>
      <c r="D79" t="s">
        <v>33</v>
      </c>
      <c r="E79">
        <v>0</v>
      </c>
      <c r="F79">
        <v>5.2828199928626397E-2</v>
      </c>
      <c r="G79" t="s">
        <v>34</v>
      </c>
      <c r="H79">
        <v>0</v>
      </c>
      <c r="I79">
        <v>77</v>
      </c>
      <c r="J79">
        <v>0</v>
      </c>
      <c r="K79">
        <v>77</v>
      </c>
      <c r="L79">
        <v>0</v>
      </c>
      <c r="M79">
        <v>114.916093500098</v>
      </c>
      <c r="P79">
        <v>114.901175300125</v>
      </c>
      <c r="Q79">
        <v>114.916093500098</v>
      </c>
      <c r="R79">
        <v>115.91671800008</v>
      </c>
      <c r="S79">
        <v>115.91671800008</v>
      </c>
      <c r="T79">
        <v>115.98340660007599</v>
      </c>
      <c r="U79" t="s">
        <v>33</v>
      </c>
      <c r="V79">
        <v>0</v>
      </c>
      <c r="W79">
        <v>5.2828199928626397E-2</v>
      </c>
      <c r="X79" t="s">
        <v>34</v>
      </c>
      <c r="Y79">
        <v>0</v>
      </c>
      <c r="Z79">
        <v>965506</v>
      </c>
      <c r="AA79">
        <v>1</v>
      </c>
      <c r="AB79" t="s">
        <v>35</v>
      </c>
      <c r="AC79" t="s">
        <v>36</v>
      </c>
      <c r="AE79" t="s">
        <v>37</v>
      </c>
      <c r="AF79">
        <v>59.886909563351601</v>
      </c>
      <c r="AG79" t="s">
        <v>38</v>
      </c>
    </row>
    <row r="80" spans="1:33" x14ac:dyDescent="0.35">
      <c r="A80">
        <v>78</v>
      </c>
      <c r="B80">
        <v>0</v>
      </c>
      <c r="C80">
        <v>78</v>
      </c>
      <c r="D80" t="s">
        <v>39</v>
      </c>
      <c r="E80">
        <v>0</v>
      </c>
      <c r="F80">
        <v>0.76572740008123197</v>
      </c>
      <c r="G80" t="s">
        <v>34</v>
      </c>
      <c r="H80">
        <v>3</v>
      </c>
      <c r="I80">
        <v>78</v>
      </c>
      <c r="J80">
        <v>0</v>
      </c>
      <c r="K80">
        <v>78</v>
      </c>
      <c r="L80">
        <v>0</v>
      </c>
      <c r="M80">
        <v>115.99978310009401</v>
      </c>
      <c r="P80">
        <v>115.983829700155</v>
      </c>
      <c r="Q80">
        <v>115.99978310009401</v>
      </c>
      <c r="R80">
        <v>116.99980009999101</v>
      </c>
      <c r="S80">
        <v>116.983201100025</v>
      </c>
      <c r="T80">
        <v>117.75035420013501</v>
      </c>
      <c r="U80" t="s">
        <v>39</v>
      </c>
      <c r="V80">
        <v>0</v>
      </c>
      <c r="W80">
        <v>0.76572740008123197</v>
      </c>
      <c r="X80" t="s">
        <v>34</v>
      </c>
      <c r="Y80">
        <v>3</v>
      </c>
      <c r="Z80">
        <v>965506</v>
      </c>
      <c r="AA80">
        <v>1</v>
      </c>
      <c r="AB80" t="s">
        <v>35</v>
      </c>
      <c r="AC80" t="s">
        <v>36</v>
      </c>
      <c r="AE80" t="s">
        <v>37</v>
      </c>
      <c r="AF80">
        <v>59.886909563351601</v>
      </c>
      <c r="AG80" t="s">
        <v>38</v>
      </c>
    </row>
    <row r="81" spans="1:33" x14ac:dyDescent="0.35">
      <c r="A81">
        <v>79</v>
      </c>
      <c r="B81">
        <v>0</v>
      </c>
      <c r="C81">
        <v>79</v>
      </c>
      <c r="D81" t="s">
        <v>39</v>
      </c>
      <c r="E81">
        <v>1</v>
      </c>
      <c r="F81">
        <v>0.74265119992196504</v>
      </c>
      <c r="G81" t="s">
        <v>34</v>
      </c>
      <c r="H81">
        <v>0</v>
      </c>
      <c r="I81">
        <v>79</v>
      </c>
      <c r="J81">
        <v>0</v>
      </c>
      <c r="K81">
        <v>79</v>
      </c>
      <c r="L81">
        <v>0</v>
      </c>
      <c r="M81">
        <v>117.766476800199</v>
      </c>
      <c r="P81">
        <v>117.750680000055</v>
      </c>
      <c r="Q81">
        <v>117.766476800199</v>
      </c>
      <c r="R81">
        <v>118.766601999988</v>
      </c>
      <c r="S81">
        <v>118.74959300016</v>
      </c>
      <c r="T81">
        <v>119.500955200055</v>
      </c>
      <c r="U81" t="s">
        <v>39</v>
      </c>
      <c r="V81">
        <v>1</v>
      </c>
      <c r="W81">
        <v>0.74265119992196504</v>
      </c>
      <c r="X81" t="s">
        <v>34</v>
      </c>
      <c r="Y81">
        <v>0</v>
      </c>
      <c r="Z81">
        <v>965506</v>
      </c>
      <c r="AA81">
        <v>1</v>
      </c>
      <c r="AB81" t="s">
        <v>35</v>
      </c>
      <c r="AC81" t="s">
        <v>36</v>
      </c>
      <c r="AE81" t="s">
        <v>37</v>
      </c>
      <c r="AF81">
        <v>59.886909563351601</v>
      </c>
      <c r="AG81" t="s">
        <v>38</v>
      </c>
    </row>
    <row r="82" spans="1:33" x14ac:dyDescent="0.35">
      <c r="A82">
        <v>80</v>
      </c>
      <c r="B82">
        <v>0</v>
      </c>
      <c r="C82">
        <v>80</v>
      </c>
      <c r="D82" t="s">
        <v>39</v>
      </c>
      <c r="E82">
        <v>1</v>
      </c>
      <c r="F82">
        <v>0.37928290013223798</v>
      </c>
      <c r="G82" t="s">
        <v>34</v>
      </c>
      <c r="H82">
        <v>0</v>
      </c>
      <c r="I82">
        <v>80</v>
      </c>
      <c r="J82">
        <v>0</v>
      </c>
      <c r="K82">
        <v>80</v>
      </c>
      <c r="L82">
        <v>0</v>
      </c>
      <c r="M82">
        <v>119.51689300010899</v>
      </c>
      <c r="P82">
        <v>119.501396200153</v>
      </c>
      <c r="Q82">
        <v>119.51689300010899</v>
      </c>
      <c r="R82">
        <v>120.516138500068</v>
      </c>
      <c r="S82">
        <v>120.516138500068</v>
      </c>
      <c r="T82">
        <v>120.90028180018901</v>
      </c>
      <c r="U82" t="s">
        <v>39</v>
      </c>
      <c r="V82">
        <v>1</v>
      </c>
      <c r="W82">
        <v>0.37928290013223798</v>
      </c>
      <c r="X82" t="s">
        <v>34</v>
      </c>
      <c r="Y82">
        <v>0</v>
      </c>
      <c r="Z82">
        <v>965506</v>
      </c>
      <c r="AA82">
        <v>1</v>
      </c>
      <c r="AB82" t="s">
        <v>35</v>
      </c>
      <c r="AC82" t="s">
        <v>36</v>
      </c>
      <c r="AE82" t="s">
        <v>37</v>
      </c>
      <c r="AF82">
        <v>59.886909563351601</v>
      </c>
      <c r="AG82" t="s">
        <v>38</v>
      </c>
    </row>
    <row r="83" spans="1:33" x14ac:dyDescent="0.35">
      <c r="A83">
        <v>81</v>
      </c>
      <c r="B83">
        <v>0</v>
      </c>
      <c r="C83">
        <v>81</v>
      </c>
      <c r="D83" t="s">
        <v>39</v>
      </c>
      <c r="E83">
        <v>0</v>
      </c>
      <c r="F83">
        <v>0.58265110012143795</v>
      </c>
      <c r="G83" t="s">
        <v>34</v>
      </c>
      <c r="H83">
        <v>4</v>
      </c>
      <c r="I83">
        <v>81</v>
      </c>
      <c r="J83">
        <v>0</v>
      </c>
      <c r="K83">
        <v>81</v>
      </c>
      <c r="L83">
        <v>0</v>
      </c>
      <c r="M83">
        <v>120.915854200022</v>
      </c>
      <c r="P83">
        <v>120.90066360007</v>
      </c>
      <c r="Q83">
        <v>120.915854200022</v>
      </c>
      <c r="R83">
        <v>121.91602220013699</v>
      </c>
      <c r="S83">
        <v>121.91602220013699</v>
      </c>
      <c r="T83">
        <v>122.50014990009301</v>
      </c>
      <c r="U83" t="s">
        <v>39</v>
      </c>
      <c r="V83">
        <v>0</v>
      </c>
      <c r="W83">
        <v>0.58265110012143795</v>
      </c>
      <c r="X83" t="s">
        <v>34</v>
      </c>
      <c r="Y83">
        <v>4</v>
      </c>
      <c r="Z83">
        <v>965506</v>
      </c>
      <c r="AA83">
        <v>1</v>
      </c>
      <c r="AB83" t="s">
        <v>35</v>
      </c>
      <c r="AC83" t="s">
        <v>36</v>
      </c>
      <c r="AE83" t="s">
        <v>37</v>
      </c>
      <c r="AF83">
        <v>59.886909563351601</v>
      </c>
      <c r="AG83" t="s">
        <v>38</v>
      </c>
    </row>
    <row r="84" spans="1:33" x14ac:dyDescent="0.35">
      <c r="A84">
        <v>82</v>
      </c>
      <c r="B84">
        <v>0</v>
      </c>
      <c r="C84">
        <v>82</v>
      </c>
      <c r="D84" t="s">
        <v>33</v>
      </c>
      <c r="E84">
        <v>1</v>
      </c>
      <c r="F84">
        <v>0.379049600102007</v>
      </c>
      <c r="G84" t="s">
        <v>34</v>
      </c>
      <c r="H84">
        <v>-2</v>
      </c>
      <c r="I84">
        <v>82</v>
      </c>
      <c r="J84">
        <v>0</v>
      </c>
      <c r="K84">
        <v>82</v>
      </c>
      <c r="L84">
        <v>0</v>
      </c>
      <c r="M84">
        <v>122.51560680009401</v>
      </c>
      <c r="P84">
        <v>122.50061310012801</v>
      </c>
      <c r="Q84">
        <v>122.51560680009401</v>
      </c>
      <c r="R84">
        <v>123.515970200067</v>
      </c>
      <c r="S84">
        <v>123.515970200067</v>
      </c>
      <c r="T84">
        <v>123.90027060010399</v>
      </c>
      <c r="U84" t="s">
        <v>33</v>
      </c>
      <c r="V84">
        <v>1</v>
      </c>
      <c r="W84">
        <v>0.379049600102007</v>
      </c>
      <c r="X84" t="s">
        <v>34</v>
      </c>
      <c r="Y84">
        <v>-2</v>
      </c>
      <c r="Z84">
        <v>965506</v>
      </c>
      <c r="AA84">
        <v>1</v>
      </c>
      <c r="AB84" t="s">
        <v>35</v>
      </c>
      <c r="AC84" t="s">
        <v>36</v>
      </c>
      <c r="AE84" t="s">
        <v>37</v>
      </c>
      <c r="AF84">
        <v>59.886909563351601</v>
      </c>
      <c r="AG84" t="s">
        <v>38</v>
      </c>
    </row>
    <row r="85" spans="1:33" x14ac:dyDescent="0.35">
      <c r="A85">
        <v>83</v>
      </c>
      <c r="B85">
        <v>0</v>
      </c>
      <c r="C85">
        <v>83</v>
      </c>
      <c r="D85" t="s">
        <v>39</v>
      </c>
      <c r="E85">
        <v>1</v>
      </c>
      <c r="F85">
        <v>1.6538905999623199</v>
      </c>
      <c r="G85" t="s">
        <v>34</v>
      </c>
      <c r="H85">
        <v>0</v>
      </c>
      <c r="I85">
        <v>83</v>
      </c>
      <c r="J85">
        <v>0</v>
      </c>
      <c r="K85">
        <v>83</v>
      </c>
      <c r="L85">
        <v>0</v>
      </c>
      <c r="M85">
        <v>123.915578100131</v>
      </c>
      <c r="P85">
        <v>123.900618100073</v>
      </c>
      <c r="Q85">
        <v>123.915578100131</v>
      </c>
      <c r="R85">
        <v>124.916088200174</v>
      </c>
      <c r="S85">
        <v>124.916088200174</v>
      </c>
      <c r="T85">
        <v>126.58313300018099</v>
      </c>
      <c r="U85" t="s">
        <v>39</v>
      </c>
      <c r="V85">
        <v>1</v>
      </c>
      <c r="W85">
        <v>1.6538905999623199</v>
      </c>
      <c r="X85" t="s">
        <v>34</v>
      </c>
      <c r="Y85">
        <v>0</v>
      </c>
      <c r="Z85">
        <v>965506</v>
      </c>
      <c r="AA85">
        <v>1</v>
      </c>
      <c r="AB85" t="s">
        <v>35</v>
      </c>
      <c r="AC85" t="s">
        <v>36</v>
      </c>
      <c r="AE85" t="s">
        <v>37</v>
      </c>
      <c r="AF85">
        <v>59.886909563351601</v>
      </c>
      <c r="AG85" t="s">
        <v>38</v>
      </c>
    </row>
    <row r="86" spans="1:33" x14ac:dyDescent="0.35">
      <c r="A86">
        <v>84</v>
      </c>
      <c r="B86">
        <v>0</v>
      </c>
      <c r="C86">
        <v>84</v>
      </c>
      <c r="D86" t="s">
        <v>39</v>
      </c>
      <c r="E86">
        <v>1</v>
      </c>
      <c r="F86">
        <v>0.91849289997480799</v>
      </c>
      <c r="G86" t="s">
        <v>34</v>
      </c>
      <c r="H86">
        <v>0</v>
      </c>
      <c r="I86">
        <v>84</v>
      </c>
      <c r="J86">
        <v>0</v>
      </c>
      <c r="K86">
        <v>84</v>
      </c>
      <c r="L86">
        <v>0</v>
      </c>
      <c r="M86">
        <v>126.599619999993</v>
      </c>
      <c r="P86">
        <v>126.583738400135</v>
      </c>
      <c r="Q86">
        <v>126.599619999993</v>
      </c>
      <c r="R86">
        <v>127.599170500179</v>
      </c>
      <c r="S86">
        <v>127.582761100027</v>
      </c>
      <c r="T86">
        <v>128.51642710017001</v>
      </c>
      <c r="U86" t="s">
        <v>39</v>
      </c>
      <c r="V86">
        <v>1</v>
      </c>
      <c r="W86">
        <v>0.91849289997480799</v>
      </c>
      <c r="X86" t="s">
        <v>34</v>
      </c>
      <c r="Y86">
        <v>0</v>
      </c>
      <c r="Z86">
        <v>965506</v>
      </c>
      <c r="AA86">
        <v>1</v>
      </c>
      <c r="AB86" t="s">
        <v>35</v>
      </c>
      <c r="AC86" t="s">
        <v>36</v>
      </c>
      <c r="AE86" t="s">
        <v>37</v>
      </c>
      <c r="AF86">
        <v>59.886909563351601</v>
      </c>
      <c r="AG86" t="s">
        <v>38</v>
      </c>
    </row>
    <row r="87" spans="1:33" x14ac:dyDescent="0.35">
      <c r="A87">
        <v>85</v>
      </c>
      <c r="B87">
        <v>0</v>
      </c>
      <c r="C87">
        <v>85</v>
      </c>
      <c r="D87" t="s">
        <v>33</v>
      </c>
      <c r="E87">
        <v>1</v>
      </c>
      <c r="F87">
        <v>0.66969529981724896</v>
      </c>
      <c r="G87" t="s">
        <v>34</v>
      </c>
      <c r="H87">
        <v>-3</v>
      </c>
      <c r="I87">
        <v>85</v>
      </c>
      <c r="J87">
        <v>0</v>
      </c>
      <c r="K87">
        <v>85</v>
      </c>
      <c r="L87">
        <v>0</v>
      </c>
      <c r="M87">
        <v>128.53225360019101</v>
      </c>
      <c r="P87">
        <v>128.51696000015301</v>
      </c>
      <c r="Q87">
        <v>128.53225360019101</v>
      </c>
      <c r="R87">
        <v>129.53253670013501</v>
      </c>
      <c r="S87">
        <v>129.53253670013501</v>
      </c>
      <c r="T87">
        <v>130.21641870005899</v>
      </c>
      <c r="U87" t="s">
        <v>33</v>
      </c>
      <c r="V87">
        <v>1</v>
      </c>
      <c r="W87">
        <v>0.66969529981724896</v>
      </c>
      <c r="X87" t="s">
        <v>34</v>
      </c>
      <c r="Y87">
        <v>-3</v>
      </c>
      <c r="Z87">
        <v>965506</v>
      </c>
      <c r="AA87">
        <v>1</v>
      </c>
      <c r="AB87" t="s">
        <v>35</v>
      </c>
      <c r="AC87" t="s">
        <v>36</v>
      </c>
      <c r="AE87" t="s">
        <v>37</v>
      </c>
      <c r="AF87">
        <v>59.886909563351601</v>
      </c>
      <c r="AG87" t="s">
        <v>38</v>
      </c>
    </row>
    <row r="88" spans="1:33" x14ac:dyDescent="0.35">
      <c r="A88">
        <v>86</v>
      </c>
      <c r="B88">
        <v>0</v>
      </c>
      <c r="C88">
        <v>86</v>
      </c>
      <c r="D88" t="s">
        <v>33</v>
      </c>
      <c r="E88">
        <v>1</v>
      </c>
      <c r="F88">
        <v>1.5855100005865E-2</v>
      </c>
      <c r="G88" t="s">
        <v>34</v>
      </c>
      <c r="H88">
        <v>2</v>
      </c>
      <c r="I88">
        <v>86</v>
      </c>
      <c r="J88">
        <v>0</v>
      </c>
      <c r="K88">
        <v>86</v>
      </c>
      <c r="L88">
        <v>0</v>
      </c>
      <c r="M88">
        <v>130.23185149999301</v>
      </c>
      <c r="P88">
        <v>130.21691430010799</v>
      </c>
      <c r="Q88">
        <v>130.23185149999301</v>
      </c>
      <c r="R88">
        <v>131.23297640006001</v>
      </c>
      <c r="S88">
        <v>131.21614200016401</v>
      </c>
      <c r="T88">
        <v>131.233733</v>
      </c>
      <c r="U88" t="s">
        <v>33</v>
      </c>
      <c r="V88">
        <v>1</v>
      </c>
      <c r="W88">
        <v>1.5855100005865E-2</v>
      </c>
      <c r="X88" t="s">
        <v>34</v>
      </c>
      <c r="Y88">
        <v>2</v>
      </c>
      <c r="Z88">
        <v>965506</v>
      </c>
      <c r="AA88">
        <v>1</v>
      </c>
      <c r="AB88" t="s">
        <v>35</v>
      </c>
      <c r="AC88" t="s">
        <v>36</v>
      </c>
      <c r="AE88" t="s">
        <v>37</v>
      </c>
      <c r="AF88">
        <v>59.886909563351601</v>
      </c>
      <c r="AG88" t="s">
        <v>38</v>
      </c>
    </row>
    <row r="89" spans="1:33" x14ac:dyDescent="0.35">
      <c r="A89">
        <v>87</v>
      </c>
      <c r="B89">
        <v>0</v>
      </c>
      <c r="C89">
        <v>87</v>
      </c>
      <c r="D89" t="s">
        <v>39</v>
      </c>
      <c r="E89">
        <v>1</v>
      </c>
      <c r="F89">
        <v>0.16950120008550501</v>
      </c>
      <c r="G89" t="s">
        <v>34</v>
      </c>
      <c r="H89">
        <v>0</v>
      </c>
      <c r="I89">
        <v>87</v>
      </c>
      <c r="J89">
        <v>0</v>
      </c>
      <c r="K89">
        <v>87</v>
      </c>
      <c r="L89">
        <v>0</v>
      </c>
      <c r="M89">
        <v>131.248835799982</v>
      </c>
      <c r="P89">
        <v>131.234099900117</v>
      </c>
      <c r="Q89">
        <v>131.248835799982</v>
      </c>
      <c r="R89">
        <v>132.24987320019801</v>
      </c>
      <c r="S89">
        <v>132.24987320019801</v>
      </c>
      <c r="T89">
        <v>132.43316500005301</v>
      </c>
      <c r="U89" t="s">
        <v>39</v>
      </c>
      <c r="V89">
        <v>1</v>
      </c>
      <c r="W89">
        <v>0.16950120008550501</v>
      </c>
      <c r="X89" t="s">
        <v>34</v>
      </c>
      <c r="Y89">
        <v>0</v>
      </c>
      <c r="Z89">
        <v>965506</v>
      </c>
      <c r="AA89">
        <v>1</v>
      </c>
      <c r="AB89" t="s">
        <v>35</v>
      </c>
      <c r="AC89" t="s">
        <v>36</v>
      </c>
      <c r="AE89" t="s">
        <v>37</v>
      </c>
      <c r="AF89">
        <v>59.886909563351601</v>
      </c>
      <c r="AG89" t="s">
        <v>38</v>
      </c>
    </row>
    <row r="90" spans="1:33" x14ac:dyDescent="0.35">
      <c r="A90">
        <v>88</v>
      </c>
      <c r="B90">
        <v>0</v>
      </c>
      <c r="C90">
        <v>88</v>
      </c>
      <c r="D90" t="s">
        <v>39</v>
      </c>
      <c r="E90">
        <v>0</v>
      </c>
      <c r="F90">
        <v>0.74647170002572205</v>
      </c>
      <c r="G90" t="s">
        <v>34</v>
      </c>
      <c r="H90">
        <v>3</v>
      </c>
      <c r="I90">
        <v>88</v>
      </c>
      <c r="J90">
        <v>0</v>
      </c>
      <c r="K90">
        <v>88</v>
      </c>
      <c r="L90">
        <v>0</v>
      </c>
      <c r="M90">
        <v>132.44860620004999</v>
      </c>
      <c r="P90">
        <v>132.433683100156</v>
      </c>
      <c r="Q90">
        <v>132.44860620004999</v>
      </c>
      <c r="R90">
        <v>133.44868030003201</v>
      </c>
      <c r="S90">
        <v>133.432359300088</v>
      </c>
      <c r="T90">
        <v>134.182754700072</v>
      </c>
      <c r="U90" t="s">
        <v>39</v>
      </c>
      <c r="V90">
        <v>0</v>
      </c>
      <c r="W90">
        <v>0.74647170002572205</v>
      </c>
      <c r="X90" t="s">
        <v>34</v>
      </c>
      <c r="Y90">
        <v>3</v>
      </c>
      <c r="Z90">
        <v>965506</v>
      </c>
      <c r="AA90">
        <v>1</v>
      </c>
      <c r="AB90" t="s">
        <v>35</v>
      </c>
      <c r="AC90" t="s">
        <v>36</v>
      </c>
      <c r="AE90" t="s">
        <v>37</v>
      </c>
      <c r="AF90">
        <v>59.886909563351601</v>
      </c>
      <c r="AG90" t="s">
        <v>38</v>
      </c>
    </row>
    <row r="91" spans="1:33" x14ac:dyDescent="0.35">
      <c r="A91">
        <v>89</v>
      </c>
      <c r="B91">
        <v>0</v>
      </c>
      <c r="C91">
        <v>89</v>
      </c>
      <c r="D91" t="s">
        <v>39</v>
      </c>
      <c r="E91">
        <v>0</v>
      </c>
      <c r="F91">
        <v>1.1387306000105999</v>
      </c>
      <c r="G91" t="s">
        <v>34</v>
      </c>
      <c r="H91">
        <v>-4</v>
      </c>
      <c r="I91">
        <v>89</v>
      </c>
      <c r="J91">
        <v>0</v>
      </c>
      <c r="K91">
        <v>89</v>
      </c>
      <c r="L91">
        <v>0</v>
      </c>
      <c r="M91">
        <v>134.19860210013499</v>
      </c>
      <c r="P91">
        <v>134.18325080000699</v>
      </c>
      <c r="Q91">
        <v>134.19860210013499</v>
      </c>
      <c r="R91">
        <v>135.19890350010201</v>
      </c>
      <c r="S91">
        <v>135.18187150009899</v>
      </c>
      <c r="T91">
        <v>136.33271500002499</v>
      </c>
      <c r="U91" t="s">
        <v>39</v>
      </c>
      <c r="V91">
        <v>0</v>
      </c>
      <c r="W91">
        <v>1.1387306000105999</v>
      </c>
      <c r="X91" t="s">
        <v>34</v>
      </c>
      <c r="Y91">
        <v>-4</v>
      </c>
      <c r="Z91">
        <v>965506</v>
      </c>
      <c r="AA91">
        <v>1</v>
      </c>
      <c r="AB91" t="s">
        <v>35</v>
      </c>
      <c r="AC91" t="s">
        <v>36</v>
      </c>
      <c r="AE91" t="s">
        <v>37</v>
      </c>
      <c r="AF91">
        <v>59.886909563351601</v>
      </c>
      <c r="AG91" t="s">
        <v>38</v>
      </c>
    </row>
    <row r="92" spans="1:33" x14ac:dyDescent="0.35">
      <c r="A92">
        <v>90</v>
      </c>
      <c r="B92">
        <v>0</v>
      </c>
      <c r="C92">
        <v>90</v>
      </c>
      <c r="D92" t="s">
        <v>39</v>
      </c>
      <c r="E92">
        <v>1</v>
      </c>
      <c r="F92">
        <v>0.29950279998592999</v>
      </c>
      <c r="G92" t="s">
        <v>34</v>
      </c>
      <c r="H92">
        <v>0</v>
      </c>
      <c r="I92">
        <v>90</v>
      </c>
      <c r="J92">
        <v>0</v>
      </c>
      <c r="K92">
        <v>90</v>
      </c>
      <c r="L92">
        <v>0</v>
      </c>
      <c r="M92">
        <v>136.348643300123</v>
      </c>
      <c r="P92">
        <v>136.33309650001999</v>
      </c>
      <c r="Q92">
        <v>136.348643300123</v>
      </c>
      <c r="R92">
        <v>137.348812700016</v>
      </c>
      <c r="S92">
        <v>137.331957200076</v>
      </c>
      <c r="T92">
        <v>137.63268170016801</v>
      </c>
      <c r="U92" t="s">
        <v>39</v>
      </c>
      <c r="V92">
        <v>1</v>
      </c>
      <c r="W92">
        <v>0.29950279998592999</v>
      </c>
      <c r="X92" t="s">
        <v>34</v>
      </c>
      <c r="Y92">
        <v>0</v>
      </c>
      <c r="Z92">
        <v>965506</v>
      </c>
      <c r="AA92">
        <v>1</v>
      </c>
      <c r="AB92" t="s">
        <v>35</v>
      </c>
      <c r="AC92" t="s">
        <v>36</v>
      </c>
      <c r="AE92" t="s">
        <v>37</v>
      </c>
      <c r="AF92">
        <v>59.886909563351601</v>
      </c>
      <c r="AG92" t="s">
        <v>38</v>
      </c>
    </row>
    <row r="93" spans="1:33" x14ac:dyDescent="0.35">
      <c r="A93">
        <v>91</v>
      </c>
      <c r="B93">
        <v>0</v>
      </c>
      <c r="C93">
        <v>91</v>
      </c>
      <c r="D93" t="s">
        <v>39</v>
      </c>
      <c r="E93">
        <v>1</v>
      </c>
      <c r="F93">
        <v>0.40255349990911699</v>
      </c>
      <c r="G93" t="s">
        <v>34</v>
      </c>
      <c r="H93">
        <v>0</v>
      </c>
      <c r="I93">
        <v>91</v>
      </c>
      <c r="J93">
        <v>0</v>
      </c>
      <c r="K93">
        <v>91</v>
      </c>
      <c r="L93">
        <v>0</v>
      </c>
      <c r="M93">
        <v>137.64806689997201</v>
      </c>
      <c r="P93">
        <v>137.633153300033</v>
      </c>
      <c r="Q93">
        <v>137.64806689997201</v>
      </c>
      <c r="R93">
        <v>138.648503300035</v>
      </c>
      <c r="S93">
        <v>138.631892800098</v>
      </c>
      <c r="T93">
        <v>139.03652120008999</v>
      </c>
      <c r="U93" t="s">
        <v>39</v>
      </c>
      <c r="V93">
        <v>1</v>
      </c>
      <c r="W93">
        <v>0.40255349990911699</v>
      </c>
      <c r="X93" t="s">
        <v>34</v>
      </c>
      <c r="Y93">
        <v>0</v>
      </c>
      <c r="Z93">
        <v>965506</v>
      </c>
      <c r="AA93">
        <v>1</v>
      </c>
      <c r="AB93" t="s">
        <v>35</v>
      </c>
      <c r="AC93" t="s">
        <v>36</v>
      </c>
      <c r="AE93" t="s">
        <v>37</v>
      </c>
      <c r="AF93">
        <v>59.886909563351601</v>
      </c>
      <c r="AG93" t="s">
        <v>38</v>
      </c>
    </row>
    <row r="94" spans="1:33" x14ac:dyDescent="0.35">
      <c r="A94">
        <v>92</v>
      </c>
      <c r="B94">
        <v>0</v>
      </c>
      <c r="C94">
        <v>92</v>
      </c>
      <c r="D94" t="s">
        <v>39</v>
      </c>
      <c r="E94">
        <v>0</v>
      </c>
      <c r="F94">
        <v>0.62700770003721096</v>
      </c>
      <c r="G94" t="s">
        <v>34</v>
      </c>
      <c r="H94">
        <v>3</v>
      </c>
      <c r="I94">
        <v>92</v>
      </c>
      <c r="J94">
        <v>0</v>
      </c>
      <c r="K94">
        <v>92</v>
      </c>
      <c r="L94">
        <v>0</v>
      </c>
      <c r="M94">
        <v>139.04845950007399</v>
      </c>
      <c r="P94">
        <v>139.036888800095</v>
      </c>
      <c r="Q94">
        <v>139.04845950007399</v>
      </c>
      <c r="R94">
        <v>140.04848670004799</v>
      </c>
      <c r="S94">
        <v>140.04848670004799</v>
      </c>
      <c r="T94">
        <v>140.68234040006001</v>
      </c>
      <c r="U94" t="s">
        <v>39</v>
      </c>
      <c r="V94">
        <v>0</v>
      </c>
      <c r="W94">
        <v>0.62700770003721096</v>
      </c>
      <c r="X94" t="s">
        <v>34</v>
      </c>
      <c r="Y94">
        <v>3</v>
      </c>
      <c r="Z94">
        <v>965506</v>
      </c>
      <c r="AA94">
        <v>1</v>
      </c>
      <c r="AB94" t="s">
        <v>35</v>
      </c>
      <c r="AC94" t="s">
        <v>36</v>
      </c>
      <c r="AE94" t="s">
        <v>37</v>
      </c>
      <c r="AF94">
        <v>59.886909563351601</v>
      </c>
      <c r="AG94" t="s">
        <v>38</v>
      </c>
    </row>
    <row r="95" spans="1:33" x14ac:dyDescent="0.35">
      <c r="A95">
        <v>93</v>
      </c>
      <c r="B95">
        <v>0</v>
      </c>
      <c r="C95">
        <v>93</v>
      </c>
      <c r="D95" t="s">
        <v>39</v>
      </c>
      <c r="E95">
        <v>0</v>
      </c>
      <c r="F95">
        <v>0.87005110015161302</v>
      </c>
      <c r="G95" t="s">
        <v>34</v>
      </c>
      <c r="H95">
        <v>-3</v>
      </c>
      <c r="I95">
        <v>93</v>
      </c>
      <c r="J95">
        <v>0</v>
      </c>
      <c r="K95">
        <v>93</v>
      </c>
      <c r="L95">
        <v>0</v>
      </c>
      <c r="M95">
        <v>140.698459600098</v>
      </c>
      <c r="P95">
        <v>140.682789900107</v>
      </c>
      <c r="Q95">
        <v>140.698459600098</v>
      </c>
      <c r="R95">
        <v>141.698882200056</v>
      </c>
      <c r="S95">
        <v>141.68154090014201</v>
      </c>
      <c r="T95">
        <v>142.565763400169</v>
      </c>
      <c r="U95" t="s">
        <v>39</v>
      </c>
      <c r="V95">
        <v>0</v>
      </c>
      <c r="W95">
        <v>0.87005110015161302</v>
      </c>
      <c r="X95" t="s">
        <v>34</v>
      </c>
      <c r="Y95">
        <v>-3</v>
      </c>
      <c r="Z95">
        <v>965506</v>
      </c>
      <c r="AA95">
        <v>1</v>
      </c>
      <c r="AB95" t="s">
        <v>35</v>
      </c>
      <c r="AC95" t="s">
        <v>36</v>
      </c>
      <c r="AE95" t="s">
        <v>37</v>
      </c>
      <c r="AF95">
        <v>59.886909563351601</v>
      </c>
      <c r="AG95" t="s">
        <v>38</v>
      </c>
    </row>
    <row r="96" spans="1:33" x14ac:dyDescent="0.35">
      <c r="A96">
        <v>94</v>
      </c>
      <c r="B96">
        <v>0</v>
      </c>
      <c r="C96">
        <v>94</v>
      </c>
      <c r="D96" t="s">
        <v>33</v>
      </c>
      <c r="E96">
        <v>1</v>
      </c>
      <c r="F96">
        <v>0.73287870013154999</v>
      </c>
      <c r="G96" t="s">
        <v>34</v>
      </c>
      <c r="H96">
        <v>-4</v>
      </c>
      <c r="I96">
        <v>94</v>
      </c>
      <c r="J96">
        <v>0</v>
      </c>
      <c r="K96">
        <v>94</v>
      </c>
      <c r="L96">
        <v>0</v>
      </c>
      <c r="M96">
        <v>142.58158810017599</v>
      </c>
      <c r="P96">
        <v>142.56629280000899</v>
      </c>
      <c r="Q96">
        <v>142.58158810017599</v>
      </c>
      <c r="R96">
        <v>143.58163899998101</v>
      </c>
      <c r="S96">
        <v>143.564917900133</v>
      </c>
      <c r="T96">
        <v>144.29857490002101</v>
      </c>
      <c r="U96" t="s">
        <v>33</v>
      </c>
      <c r="V96">
        <v>1</v>
      </c>
      <c r="W96">
        <v>0.73287870013154999</v>
      </c>
      <c r="X96" t="s">
        <v>34</v>
      </c>
      <c r="Y96">
        <v>-4</v>
      </c>
      <c r="Z96">
        <v>965506</v>
      </c>
      <c r="AA96">
        <v>1</v>
      </c>
      <c r="AB96" t="s">
        <v>35</v>
      </c>
      <c r="AC96" t="s">
        <v>36</v>
      </c>
      <c r="AE96" t="s">
        <v>37</v>
      </c>
      <c r="AF96">
        <v>59.886909563351601</v>
      </c>
      <c r="AG96" t="s">
        <v>38</v>
      </c>
    </row>
    <row r="97" spans="1:33" x14ac:dyDescent="0.35">
      <c r="A97">
        <v>95</v>
      </c>
      <c r="B97">
        <v>0</v>
      </c>
      <c r="C97">
        <v>95</v>
      </c>
      <c r="D97" t="s">
        <v>39</v>
      </c>
      <c r="E97">
        <v>0</v>
      </c>
      <c r="F97">
        <v>0.60239650006405998</v>
      </c>
      <c r="G97" t="s">
        <v>34</v>
      </c>
      <c r="H97">
        <v>-5</v>
      </c>
      <c r="I97">
        <v>95</v>
      </c>
      <c r="J97">
        <v>0</v>
      </c>
      <c r="K97">
        <v>95</v>
      </c>
      <c r="L97">
        <v>0</v>
      </c>
      <c r="M97">
        <v>144.315187100088</v>
      </c>
      <c r="P97">
        <v>144.29894380015301</v>
      </c>
      <c r="Q97">
        <v>144.315187100088</v>
      </c>
      <c r="R97">
        <v>145.31479920004401</v>
      </c>
      <c r="S97">
        <v>145.298422500025</v>
      </c>
      <c r="T97">
        <v>145.91606450011</v>
      </c>
      <c r="U97" t="s">
        <v>39</v>
      </c>
      <c r="V97">
        <v>0</v>
      </c>
      <c r="W97">
        <v>0.60239650006405998</v>
      </c>
      <c r="X97" t="s">
        <v>34</v>
      </c>
      <c r="Y97">
        <v>-5</v>
      </c>
      <c r="Z97">
        <v>965506</v>
      </c>
      <c r="AA97">
        <v>1</v>
      </c>
      <c r="AB97" t="s">
        <v>35</v>
      </c>
      <c r="AC97" t="s">
        <v>36</v>
      </c>
      <c r="AE97" t="s">
        <v>37</v>
      </c>
      <c r="AF97">
        <v>59.886909563351601</v>
      </c>
      <c r="AG97" t="s">
        <v>38</v>
      </c>
    </row>
    <row r="98" spans="1:33" x14ac:dyDescent="0.35">
      <c r="A98">
        <v>96</v>
      </c>
      <c r="B98">
        <v>0</v>
      </c>
      <c r="C98">
        <v>96</v>
      </c>
      <c r="D98" t="s">
        <v>39</v>
      </c>
      <c r="E98">
        <v>1</v>
      </c>
      <c r="F98">
        <v>0.82063729991205003</v>
      </c>
      <c r="G98" t="s">
        <v>34</v>
      </c>
      <c r="H98">
        <v>0</v>
      </c>
      <c r="I98">
        <v>96</v>
      </c>
      <c r="J98">
        <v>0</v>
      </c>
      <c r="K98">
        <v>96</v>
      </c>
      <c r="L98">
        <v>0</v>
      </c>
      <c r="M98">
        <v>145.931427200092</v>
      </c>
      <c r="P98">
        <v>145.916507699992</v>
      </c>
      <c r="Q98">
        <v>145.931427200092</v>
      </c>
      <c r="R98">
        <v>146.93136629997699</v>
      </c>
      <c r="S98">
        <v>146.93136629997699</v>
      </c>
      <c r="T98">
        <v>147.765427600126</v>
      </c>
      <c r="U98" t="s">
        <v>39</v>
      </c>
      <c r="V98">
        <v>1</v>
      </c>
      <c r="W98">
        <v>0.82063729991205003</v>
      </c>
      <c r="X98" t="s">
        <v>34</v>
      </c>
      <c r="Y98">
        <v>0</v>
      </c>
      <c r="Z98">
        <v>965506</v>
      </c>
      <c r="AA98">
        <v>1</v>
      </c>
      <c r="AB98" t="s">
        <v>35</v>
      </c>
      <c r="AC98" t="s">
        <v>36</v>
      </c>
      <c r="AE98" t="s">
        <v>37</v>
      </c>
      <c r="AF98">
        <v>59.886909563351601</v>
      </c>
      <c r="AG98" t="s">
        <v>38</v>
      </c>
    </row>
    <row r="99" spans="1:33" x14ac:dyDescent="0.35">
      <c r="A99">
        <v>97</v>
      </c>
      <c r="B99">
        <v>0</v>
      </c>
      <c r="C99">
        <v>97</v>
      </c>
      <c r="D99" t="s">
        <v>33</v>
      </c>
      <c r="E99">
        <v>1</v>
      </c>
      <c r="F99">
        <v>0.184575399849563</v>
      </c>
      <c r="G99" t="s">
        <v>34</v>
      </c>
      <c r="H99">
        <v>-4</v>
      </c>
      <c r="I99">
        <v>97</v>
      </c>
      <c r="J99">
        <v>0</v>
      </c>
      <c r="K99">
        <v>97</v>
      </c>
      <c r="L99">
        <v>0</v>
      </c>
      <c r="M99">
        <v>147.781572800129</v>
      </c>
      <c r="P99">
        <v>147.76589779998099</v>
      </c>
      <c r="Q99">
        <v>147.781572800129</v>
      </c>
      <c r="R99">
        <v>148.78117770003101</v>
      </c>
      <c r="S99">
        <v>148.765308700036</v>
      </c>
      <c r="T99">
        <v>148.95048240013401</v>
      </c>
      <c r="U99" t="s">
        <v>33</v>
      </c>
      <c r="V99">
        <v>1</v>
      </c>
      <c r="W99">
        <v>0.184575399849563</v>
      </c>
      <c r="X99" t="s">
        <v>34</v>
      </c>
      <c r="Y99">
        <v>-4</v>
      </c>
      <c r="Z99">
        <v>965506</v>
      </c>
      <c r="AA99">
        <v>1</v>
      </c>
      <c r="AB99" t="s">
        <v>35</v>
      </c>
      <c r="AC99" t="s">
        <v>36</v>
      </c>
      <c r="AE99" t="s">
        <v>37</v>
      </c>
      <c r="AF99">
        <v>59.886909563351601</v>
      </c>
      <c r="AG99" t="s">
        <v>38</v>
      </c>
    </row>
    <row r="100" spans="1:33" x14ac:dyDescent="0.35">
      <c r="A100">
        <v>98</v>
      </c>
      <c r="B100">
        <v>0</v>
      </c>
      <c r="C100">
        <v>98</v>
      </c>
      <c r="D100" t="s">
        <v>33</v>
      </c>
      <c r="E100">
        <v>0</v>
      </c>
      <c r="F100">
        <v>0.19147259998135199</v>
      </c>
      <c r="G100" t="s">
        <v>34</v>
      </c>
      <c r="H100">
        <v>0</v>
      </c>
      <c r="I100">
        <v>98</v>
      </c>
      <c r="J100">
        <v>0</v>
      </c>
      <c r="K100">
        <v>98</v>
      </c>
      <c r="L100">
        <v>0</v>
      </c>
      <c r="M100">
        <v>148.96458120015399</v>
      </c>
      <c r="P100">
        <v>148.950797300087</v>
      </c>
      <c r="Q100">
        <v>148.96458120015399</v>
      </c>
      <c r="R100">
        <v>149.964586100075</v>
      </c>
      <c r="S100">
        <v>149.964586100075</v>
      </c>
      <c r="T100">
        <v>150.16546010016401</v>
      </c>
      <c r="U100" t="s">
        <v>33</v>
      </c>
      <c r="V100">
        <v>0</v>
      </c>
      <c r="W100">
        <v>0.19147259998135199</v>
      </c>
      <c r="X100" t="s">
        <v>34</v>
      </c>
      <c r="Y100">
        <v>0</v>
      </c>
      <c r="Z100">
        <v>965506</v>
      </c>
      <c r="AA100">
        <v>1</v>
      </c>
      <c r="AB100" t="s">
        <v>35</v>
      </c>
      <c r="AC100" t="s">
        <v>36</v>
      </c>
      <c r="AE100" t="s">
        <v>37</v>
      </c>
      <c r="AF100">
        <v>59.886909563351601</v>
      </c>
      <c r="AG100" t="s">
        <v>38</v>
      </c>
    </row>
    <row r="101" spans="1:33" x14ac:dyDescent="0.35">
      <c r="A101">
        <v>99</v>
      </c>
      <c r="B101">
        <v>0</v>
      </c>
      <c r="C101">
        <v>99</v>
      </c>
      <c r="D101" t="s">
        <v>39</v>
      </c>
      <c r="E101">
        <v>1</v>
      </c>
      <c r="F101">
        <v>1.0058595000300501</v>
      </c>
      <c r="G101" t="s">
        <v>34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150.18102010013499</v>
      </c>
      <c r="P101">
        <v>150.16597410012</v>
      </c>
      <c r="Q101">
        <v>150.18102010013499</v>
      </c>
      <c r="R101">
        <v>151.181133400183</v>
      </c>
      <c r="S101">
        <v>151.16466960008199</v>
      </c>
      <c r="T101">
        <v>152.18197840009799</v>
      </c>
      <c r="U101" t="s">
        <v>39</v>
      </c>
      <c r="V101">
        <v>1</v>
      </c>
      <c r="W101">
        <v>1.0058595000300501</v>
      </c>
      <c r="X101" t="s">
        <v>34</v>
      </c>
      <c r="Y101">
        <v>0</v>
      </c>
      <c r="Z101">
        <v>965506</v>
      </c>
      <c r="AA101">
        <v>1</v>
      </c>
      <c r="AB101" t="s">
        <v>35</v>
      </c>
      <c r="AC101" t="s">
        <v>36</v>
      </c>
      <c r="AE101" t="s">
        <v>37</v>
      </c>
      <c r="AF101">
        <v>59.886909563351601</v>
      </c>
      <c r="AG10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8C51-915D-4A5C-83EC-F624D47F7A31}">
  <dimension ref="A1:X102"/>
  <sheetViews>
    <sheetView tabSelected="1" workbookViewId="0">
      <selection activeCell="D11" sqref="D11"/>
    </sheetView>
  </sheetViews>
  <sheetFormatPr defaultRowHeight="14.5" x14ac:dyDescent="0.35"/>
  <cols>
    <col min="1" max="1" width="8.7265625" customWidth="1"/>
    <col min="3" max="3" width="8.7265625" customWidth="1"/>
    <col min="5" max="5" width="8.7265625" customWidth="1"/>
    <col min="7" max="7" width="8.7265625" customWidth="1"/>
    <col min="9" max="9" width="8.6328125" customWidth="1"/>
    <col min="11" max="11" width="10.54296875" customWidth="1"/>
    <col min="12" max="12" width="15.08984375" bestFit="1" customWidth="1"/>
    <col min="15" max="15" width="12.6328125" customWidth="1"/>
    <col min="16" max="16" width="11" customWidth="1"/>
    <col min="17" max="17" width="14.453125" customWidth="1"/>
    <col min="20" max="20" width="39.453125" customWidth="1"/>
    <col min="23" max="23" width="11" customWidth="1"/>
  </cols>
  <sheetData>
    <row r="1" spans="1:24" x14ac:dyDescent="0.35">
      <c r="A1" s="1" t="s">
        <v>44</v>
      </c>
      <c r="C1" s="1" t="s">
        <v>3</v>
      </c>
      <c r="E1" s="1" t="s">
        <v>4</v>
      </c>
      <c r="G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P1" s="2" t="s">
        <v>47</v>
      </c>
      <c r="Q1" s="2" t="s">
        <v>48</v>
      </c>
      <c r="W1" s="5" t="s">
        <v>59</v>
      </c>
      <c r="X1" s="5" t="s">
        <v>61</v>
      </c>
    </row>
    <row r="2" spans="1:24" x14ac:dyDescent="0.35">
      <c r="A2">
        <v>0</v>
      </c>
      <c r="C2" t="s">
        <v>33</v>
      </c>
      <c r="E2">
        <v>1</v>
      </c>
      <c r="G2">
        <v>4</v>
      </c>
      <c r="I2">
        <v>1</v>
      </c>
      <c r="O2" s="2" t="s">
        <v>45</v>
      </c>
      <c r="P2" t="s">
        <v>51</v>
      </c>
      <c r="Q2" t="s">
        <v>49</v>
      </c>
      <c r="T2" s="4" t="s">
        <v>55</v>
      </c>
      <c r="U2">
        <f>P8/(P8+Q8)</f>
        <v>0.56603773584905659</v>
      </c>
      <c r="W2" t="s">
        <v>51</v>
      </c>
      <c r="X2">
        <v>30</v>
      </c>
    </row>
    <row r="3" spans="1:24" x14ac:dyDescent="0.35">
      <c r="A3">
        <v>1</v>
      </c>
      <c r="C3" t="s">
        <v>39</v>
      </c>
      <c r="E3">
        <v>1</v>
      </c>
      <c r="G3">
        <v>0</v>
      </c>
      <c r="L3">
        <v>1</v>
      </c>
      <c r="O3" s="2" t="s">
        <v>46</v>
      </c>
      <c r="P3" t="s">
        <v>52</v>
      </c>
      <c r="Q3" t="s">
        <v>50</v>
      </c>
      <c r="T3" s="4" t="s">
        <v>56</v>
      </c>
      <c r="U3">
        <f>P9/(P9+Q9)</f>
        <v>0.36170212765957449</v>
      </c>
      <c r="W3" t="s">
        <v>49</v>
      </c>
      <c r="X3">
        <v>23</v>
      </c>
    </row>
    <row r="4" spans="1:24" x14ac:dyDescent="0.35">
      <c r="A4">
        <v>2</v>
      </c>
      <c r="C4" t="s">
        <v>39</v>
      </c>
      <c r="E4">
        <v>1</v>
      </c>
      <c r="G4">
        <v>0</v>
      </c>
      <c r="L4">
        <v>1</v>
      </c>
      <c r="W4" t="s">
        <v>52</v>
      </c>
      <c r="X4">
        <v>17</v>
      </c>
    </row>
    <row r="5" spans="1:24" x14ac:dyDescent="0.35">
      <c r="A5">
        <v>3</v>
      </c>
      <c r="C5" t="s">
        <v>39</v>
      </c>
      <c r="E5">
        <v>1</v>
      </c>
      <c r="G5">
        <v>0</v>
      </c>
      <c r="L5">
        <v>1</v>
      </c>
      <c r="W5" t="s">
        <v>60</v>
      </c>
      <c r="X5">
        <v>30</v>
      </c>
    </row>
    <row r="6" spans="1:24" x14ac:dyDescent="0.35">
      <c r="A6">
        <v>4</v>
      </c>
      <c r="C6" t="s">
        <v>39</v>
      </c>
      <c r="E6">
        <v>0</v>
      </c>
      <c r="G6">
        <v>-5</v>
      </c>
      <c r="J6">
        <v>1</v>
      </c>
    </row>
    <row r="7" spans="1:24" x14ac:dyDescent="0.35">
      <c r="A7">
        <v>5</v>
      </c>
      <c r="C7" t="s">
        <v>39</v>
      </c>
      <c r="E7">
        <v>0</v>
      </c>
      <c r="G7">
        <v>-5</v>
      </c>
      <c r="J7">
        <v>1</v>
      </c>
      <c r="P7" s="3" t="s">
        <v>53</v>
      </c>
      <c r="Q7" s="3" t="s">
        <v>48</v>
      </c>
    </row>
    <row r="8" spans="1:24" x14ac:dyDescent="0.35">
      <c r="A8">
        <v>6</v>
      </c>
      <c r="C8" t="s">
        <v>39</v>
      </c>
      <c r="E8">
        <v>1</v>
      </c>
      <c r="G8">
        <v>0</v>
      </c>
      <c r="L8">
        <v>1</v>
      </c>
      <c r="O8" s="3" t="s">
        <v>54</v>
      </c>
      <c r="P8">
        <v>30</v>
      </c>
      <c r="Q8">
        <v>23</v>
      </c>
      <c r="T8" s="4" t="s">
        <v>57</v>
      </c>
      <c r="U8">
        <f>NORMSINV(U2) - NORMSINV(U3)</f>
        <v>0.5202081178000082</v>
      </c>
    </row>
    <row r="9" spans="1:24" x14ac:dyDescent="0.35">
      <c r="A9">
        <v>7</v>
      </c>
      <c r="C9" t="s">
        <v>39</v>
      </c>
      <c r="E9">
        <v>0</v>
      </c>
      <c r="G9">
        <v>-5</v>
      </c>
      <c r="J9">
        <v>1</v>
      </c>
      <c r="O9" s="3" t="s">
        <v>46</v>
      </c>
      <c r="P9">
        <v>17</v>
      </c>
      <c r="Q9">
        <v>30</v>
      </c>
      <c r="T9" s="4" t="s">
        <v>58</v>
      </c>
      <c r="U9">
        <f>-((NORMSINV(U2)+NORMSINV(U3)/2))</f>
        <v>1.0661039697358765E-2</v>
      </c>
    </row>
    <row r="10" spans="1:24" x14ac:dyDescent="0.35">
      <c r="A10">
        <v>8</v>
      </c>
      <c r="C10" t="s">
        <v>39</v>
      </c>
      <c r="E10">
        <v>1</v>
      </c>
      <c r="G10">
        <v>0</v>
      </c>
      <c r="L10">
        <v>1</v>
      </c>
    </row>
    <row r="11" spans="1:24" x14ac:dyDescent="0.35">
      <c r="A11">
        <v>9</v>
      </c>
      <c r="C11" t="s">
        <v>39</v>
      </c>
      <c r="E11">
        <v>1</v>
      </c>
      <c r="G11">
        <v>0</v>
      </c>
      <c r="L11">
        <v>1</v>
      </c>
    </row>
    <row r="12" spans="1:24" x14ac:dyDescent="0.35">
      <c r="A12">
        <v>10</v>
      </c>
      <c r="C12" t="s">
        <v>33</v>
      </c>
      <c r="E12">
        <v>0</v>
      </c>
      <c r="G12">
        <v>0</v>
      </c>
      <c r="K12">
        <v>1</v>
      </c>
    </row>
    <row r="13" spans="1:24" x14ac:dyDescent="0.35">
      <c r="A13">
        <v>11</v>
      </c>
      <c r="C13" t="s">
        <v>33</v>
      </c>
      <c r="E13">
        <v>1</v>
      </c>
      <c r="G13">
        <v>-5</v>
      </c>
      <c r="I13">
        <v>1</v>
      </c>
    </row>
    <row r="14" spans="1:24" x14ac:dyDescent="0.35">
      <c r="A14">
        <v>12</v>
      </c>
      <c r="C14" t="s">
        <v>33</v>
      </c>
      <c r="E14">
        <v>1</v>
      </c>
      <c r="G14">
        <v>3</v>
      </c>
      <c r="I14">
        <v>1</v>
      </c>
    </row>
    <row r="15" spans="1:24" x14ac:dyDescent="0.35">
      <c r="A15">
        <v>13</v>
      </c>
      <c r="C15" t="s">
        <v>33</v>
      </c>
      <c r="E15">
        <v>1</v>
      </c>
      <c r="G15">
        <v>2</v>
      </c>
      <c r="I15">
        <v>1</v>
      </c>
    </row>
    <row r="16" spans="1:24" x14ac:dyDescent="0.35">
      <c r="A16">
        <v>14</v>
      </c>
      <c r="C16" t="s">
        <v>39</v>
      </c>
      <c r="E16">
        <v>1</v>
      </c>
      <c r="G16">
        <v>0</v>
      </c>
      <c r="L16">
        <v>1</v>
      </c>
    </row>
    <row r="17" spans="1:12" x14ac:dyDescent="0.35">
      <c r="A17">
        <v>15</v>
      </c>
      <c r="C17" t="s">
        <v>33</v>
      </c>
      <c r="E17">
        <v>1</v>
      </c>
      <c r="G17">
        <v>4</v>
      </c>
      <c r="I17">
        <v>1</v>
      </c>
    </row>
    <row r="18" spans="1:12" x14ac:dyDescent="0.35">
      <c r="A18">
        <v>16</v>
      </c>
      <c r="C18" t="s">
        <v>39</v>
      </c>
      <c r="E18">
        <v>0</v>
      </c>
      <c r="G18">
        <v>-2</v>
      </c>
      <c r="J18">
        <v>1</v>
      </c>
    </row>
    <row r="19" spans="1:12" x14ac:dyDescent="0.35">
      <c r="A19">
        <v>17</v>
      </c>
      <c r="C19" t="s">
        <v>33</v>
      </c>
      <c r="E19">
        <v>0</v>
      </c>
      <c r="G19">
        <v>0</v>
      </c>
      <c r="K19">
        <v>1</v>
      </c>
    </row>
    <row r="20" spans="1:12" x14ac:dyDescent="0.35">
      <c r="A20">
        <v>18</v>
      </c>
      <c r="C20" t="s">
        <v>39</v>
      </c>
      <c r="E20">
        <v>0</v>
      </c>
      <c r="G20">
        <v>-4</v>
      </c>
      <c r="J20">
        <v>1</v>
      </c>
    </row>
    <row r="21" spans="1:12" x14ac:dyDescent="0.35">
      <c r="A21">
        <v>19</v>
      </c>
      <c r="C21" t="s">
        <v>39</v>
      </c>
      <c r="E21">
        <v>1</v>
      </c>
      <c r="G21">
        <v>0</v>
      </c>
      <c r="L21">
        <v>1</v>
      </c>
    </row>
    <row r="22" spans="1:12" x14ac:dyDescent="0.35">
      <c r="A22">
        <v>20</v>
      </c>
      <c r="C22" t="s">
        <v>33</v>
      </c>
      <c r="E22">
        <v>0</v>
      </c>
      <c r="G22">
        <v>0</v>
      </c>
      <c r="K22">
        <v>1</v>
      </c>
    </row>
    <row r="23" spans="1:12" x14ac:dyDescent="0.35">
      <c r="A23">
        <v>21</v>
      </c>
      <c r="C23" t="s">
        <v>39</v>
      </c>
      <c r="E23">
        <v>0</v>
      </c>
      <c r="G23">
        <v>-4</v>
      </c>
      <c r="J23">
        <v>1</v>
      </c>
    </row>
    <row r="24" spans="1:12" x14ac:dyDescent="0.35">
      <c r="A24">
        <v>22</v>
      </c>
      <c r="C24" t="s">
        <v>39</v>
      </c>
      <c r="E24">
        <v>0</v>
      </c>
      <c r="G24">
        <v>-3</v>
      </c>
      <c r="J24">
        <v>1</v>
      </c>
    </row>
    <row r="25" spans="1:12" x14ac:dyDescent="0.35">
      <c r="A25">
        <v>23</v>
      </c>
      <c r="C25" t="s">
        <v>33</v>
      </c>
      <c r="E25">
        <v>0</v>
      </c>
      <c r="G25">
        <v>0</v>
      </c>
      <c r="K25">
        <v>1</v>
      </c>
    </row>
    <row r="26" spans="1:12" x14ac:dyDescent="0.35">
      <c r="A26">
        <v>24</v>
      </c>
      <c r="C26" t="s">
        <v>33</v>
      </c>
      <c r="E26">
        <v>1</v>
      </c>
      <c r="G26">
        <v>-5</v>
      </c>
      <c r="I26">
        <v>1</v>
      </c>
    </row>
    <row r="27" spans="1:12" x14ac:dyDescent="0.35">
      <c r="A27">
        <v>25</v>
      </c>
      <c r="C27" t="s">
        <v>33</v>
      </c>
      <c r="E27">
        <v>0</v>
      </c>
      <c r="G27">
        <v>0</v>
      </c>
      <c r="K27">
        <v>1</v>
      </c>
    </row>
    <row r="28" spans="1:12" x14ac:dyDescent="0.35">
      <c r="A28">
        <v>26</v>
      </c>
      <c r="C28" t="s">
        <v>33</v>
      </c>
      <c r="E28">
        <v>1</v>
      </c>
      <c r="G28">
        <v>-4</v>
      </c>
      <c r="I28">
        <v>1</v>
      </c>
    </row>
    <row r="29" spans="1:12" x14ac:dyDescent="0.35">
      <c r="A29">
        <v>27</v>
      </c>
      <c r="C29" t="s">
        <v>33</v>
      </c>
      <c r="E29">
        <v>0</v>
      </c>
      <c r="G29">
        <v>0</v>
      </c>
      <c r="K29">
        <v>1</v>
      </c>
    </row>
    <row r="30" spans="1:12" x14ac:dyDescent="0.35">
      <c r="A30">
        <v>28</v>
      </c>
      <c r="C30" t="s">
        <v>33</v>
      </c>
      <c r="E30">
        <v>0</v>
      </c>
      <c r="G30">
        <v>0</v>
      </c>
      <c r="K30">
        <v>1</v>
      </c>
    </row>
    <row r="31" spans="1:12" x14ac:dyDescent="0.35">
      <c r="A31">
        <v>29</v>
      </c>
      <c r="C31" t="s">
        <v>39</v>
      </c>
      <c r="E31">
        <v>0</v>
      </c>
      <c r="G31">
        <v>4</v>
      </c>
      <c r="I31">
        <v>1</v>
      </c>
    </row>
    <row r="32" spans="1:12" x14ac:dyDescent="0.35">
      <c r="A32">
        <v>30</v>
      </c>
      <c r="C32" t="s">
        <v>33</v>
      </c>
      <c r="E32">
        <v>0</v>
      </c>
      <c r="G32">
        <v>0</v>
      </c>
      <c r="K32">
        <v>1</v>
      </c>
    </row>
    <row r="33" spans="1:12" x14ac:dyDescent="0.35">
      <c r="A33">
        <v>31</v>
      </c>
      <c r="C33" t="s">
        <v>33</v>
      </c>
      <c r="E33">
        <v>1</v>
      </c>
      <c r="G33">
        <v>3</v>
      </c>
      <c r="I33">
        <v>1</v>
      </c>
    </row>
    <row r="34" spans="1:12" x14ac:dyDescent="0.35">
      <c r="A34">
        <v>32</v>
      </c>
      <c r="C34" t="s">
        <v>39</v>
      </c>
      <c r="E34">
        <v>1</v>
      </c>
      <c r="G34">
        <v>0</v>
      </c>
      <c r="L34">
        <v>1</v>
      </c>
    </row>
    <row r="35" spans="1:12" x14ac:dyDescent="0.35">
      <c r="A35">
        <v>33</v>
      </c>
      <c r="C35" t="s">
        <v>33</v>
      </c>
      <c r="E35">
        <v>1</v>
      </c>
      <c r="G35">
        <v>-5</v>
      </c>
      <c r="I35">
        <v>1</v>
      </c>
    </row>
    <row r="36" spans="1:12" x14ac:dyDescent="0.35">
      <c r="A36">
        <v>34</v>
      </c>
      <c r="C36" t="s">
        <v>33</v>
      </c>
      <c r="E36">
        <v>0</v>
      </c>
      <c r="G36">
        <v>0</v>
      </c>
      <c r="K36">
        <v>1</v>
      </c>
    </row>
    <row r="37" spans="1:12" x14ac:dyDescent="0.35">
      <c r="A37">
        <v>35</v>
      </c>
      <c r="C37" t="s">
        <v>39</v>
      </c>
      <c r="E37">
        <v>1</v>
      </c>
      <c r="G37">
        <v>0</v>
      </c>
      <c r="L37">
        <v>1</v>
      </c>
    </row>
    <row r="38" spans="1:12" x14ac:dyDescent="0.35">
      <c r="A38">
        <v>36</v>
      </c>
      <c r="C38" t="s">
        <v>33</v>
      </c>
      <c r="E38">
        <v>0</v>
      </c>
      <c r="G38">
        <v>0</v>
      </c>
      <c r="K38">
        <v>1</v>
      </c>
    </row>
    <row r="39" spans="1:12" x14ac:dyDescent="0.35">
      <c r="A39">
        <v>37</v>
      </c>
      <c r="C39" t="s">
        <v>33</v>
      </c>
      <c r="E39">
        <v>1</v>
      </c>
      <c r="G39">
        <v>2</v>
      </c>
      <c r="I39">
        <v>1</v>
      </c>
    </row>
    <row r="40" spans="1:12" x14ac:dyDescent="0.35">
      <c r="A40">
        <v>38</v>
      </c>
      <c r="C40" t="s">
        <v>39</v>
      </c>
      <c r="E40">
        <v>0</v>
      </c>
      <c r="G40">
        <v>-2</v>
      </c>
      <c r="J40">
        <v>1</v>
      </c>
    </row>
    <row r="41" spans="1:12" x14ac:dyDescent="0.35">
      <c r="A41">
        <v>39</v>
      </c>
      <c r="C41" t="s">
        <v>39</v>
      </c>
      <c r="E41">
        <v>1</v>
      </c>
      <c r="G41">
        <v>0</v>
      </c>
      <c r="L41">
        <v>1</v>
      </c>
    </row>
    <row r="42" spans="1:12" x14ac:dyDescent="0.35">
      <c r="A42">
        <v>40</v>
      </c>
      <c r="C42" t="s">
        <v>39</v>
      </c>
      <c r="E42">
        <v>1</v>
      </c>
      <c r="G42">
        <v>0</v>
      </c>
      <c r="L42">
        <v>1</v>
      </c>
    </row>
    <row r="43" spans="1:12" x14ac:dyDescent="0.35">
      <c r="A43">
        <v>41</v>
      </c>
      <c r="C43" t="s">
        <v>33</v>
      </c>
      <c r="E43">
        <v>1</v>
      </c>
      <c r="G43">
        <v>3</v>
      </c>
      <c r="I43">
        <v>1</v>
      </c>
    </row>
    <row r="44" spans="1:12" x14ac:dyDescent="0.35">
      <c r="A44">
        <v>42</v>
      </c>
      <c r="C44" t="s">
        <v>39</v>
      </c>
      <c r="E44">
        <v>0</v>
      </c>
      <c r="G44">
        <v>-4</v>
      </c>
      <c r="J44">
        <v>1</v>
      </c>
    </row>
    <row r="45" spans="1:12" x14ac:dyDescent="0.35">
      <c r="A45">
        <v>43</v>
      </c>
      <c r="C45" t="s">
        <v>33</v>
      </c>
      <c r="E45">
        <v>1</v>
      </c>
      <c r="G45">
        <v>-5</v>
      </c>
      <c r="I45">
        <v>1</v>
      </c>
    </row>
    <row r="46" spans="1:12" x14ac:dyDescent="0.35">
      <c r="A46">
        <v>44</v>
      </c>
      <c r="C46" t="s">
        <v>33</v>
      </c>
      <c r="E46">
        <v>1</v>
      </c>
      <c r="G46">
        <v>-5</v>
      </c>
      <c r="I46">
        <v>1</v>
      </c>
    </row>
    <row r="47" spans="1:12" x14ac:dyDescent="0.35">
      <c r="A47">
        <v>45</v>
      </c>
      <c r="C47" t="s">
        <v>33</v>
      </c>
      <c r="E47">
        <v>0</v>
      </c>
      <c r="G47">
        <v>0</v>
      </c>
      <c r="K47">
        <v>1</v>
      </c>
    </row>
    <row r="48" spans="1:12" x14ac:dyDescent="0.35">
      <c r="A48">
        <v>46</v>
      </c>
      <c r="C48" t="s">
        <v>39</v>
      </c>
      <c r="E48">
        <v>1</v>
      </c>
      <c r="G48">
        <v>0</v>
      </c>
      <c r="L48">
        <v>1</v>
      </c>
    </row>
    <row r="49" spans="1:12" x14ac:dyDescent="0.35">
      <c r="A49">
        <v>47</v>
      </c>
      <c r="C49" t="s">
        <v>33</v>
      </c>
      <c r="E49">
        <v>0</v>
      </c>
      <c r="G49">
        <v>0</v>
      </c>
      <c r="K49">
        <v>1</v>
      </c>
    </row>
    <row r="50" spans="1:12" x14ac:dyDescent="0.35">
      <c r="A50">
        <v>48</v>
      </c>
      <c r="C50" t="s">
        <v>39</v>
      </c>
      <c r="E50">
        <v>0</v>
      </c>
      <c r="G50">
        <v>4</v>
      </c>
      <c r="I50">
        <v>1</v>
      </c>
    </row>
    <row r="51" spans="1:12" x14ac:dyDescent="0.35">
      <c r="A51">
        <v>49</v>
      </c>
      <c r="C51" t="s">
        <v>39</v>
      </c>
      <c r="E51">
        <v>0</v>
      </c>
      <c r="G51">
        <v>-5</v>
      </c>
      <c r="J51">
        <v>1</v>
      </c>
    </row>
    <row r="52" spans="1:12" x14ac:dyDescent="0.35">
      <c r="A52">
        <v>50</v>
      </c>
      <c r="C52" t="s">
        <v>39</v>
      </c>
      <c r="E52">
        <v>0</v>
      </c>
      <c r="G52">
        <v>3</v>
      </c>
      <c r="J52">
        <v>1</v>
      </c>
    </row>
    <row r="53" spans="1:12" x14ac:dyDescent="0.35">
      <c r="A53">
        <v>51</v>
      </c>
      <c r="C53" t="s">
        <v>39</v>
      </c>
      <c r="E53">
        <v>0</v>
      </c>
      <c r="G53">
        <v>4</v>
      </c>
      <c r="J53">
        <v>1</v>
      </c>
    </row>
    <row r="54" spans="1:12" x14ac:dyDescent="0.35">
      <c r="A54">
        <v>52</v>
      </c>
      <c r="C54" t="s">
        <v>39</v>
      </c>
      <c r="E54">
        <v>1</v>
      </c>
      <c r="G54">
        <v>0</v>
      </c>
      <c r="L54">
        <v>1</v>
      </c>
    </row>
    <row r="55" spans="1:12" x14ac:dyDescent="0.35">
      <c r="A55">
        <v>53</v>
      </c>
      <c r="C55" t="s">
        <v>33</v>
      </c>
      <c r="E55">
        <v>0</v>
      </c>
      <c r="G55">
        <v>0</v>
      </c>
      <c r="K55">
        <v>1</v>
      </c>
    </row>
    <row r="56" spans="1:12" x14ac:dyDescent="0.35">
      <c r="A56">
        <v>54</v>
      </c>
      <c r="C56" t="s">
        <v>33</v>
      </c>
      <c r="E56">
        <v>1</v>
      </c>
      <c r="G56">
        <v>-2</v>
      </c>
      <c r="I56">
        <v>1</v>
      </c>
    </row>
    <row r="57" spans="1:12" x14ac:dyDescent="0.35">
      <c r="A57">
        <v>55</v>
      </c>
      <c r="C57" t="s">
        <v>39</v>
      </c>
      <c r="E57">
        <v>0</v>
      </c>
      <c r="G57">
        <v>-2</v>
      </c>
      <c r="J57">
        <v>1</v>
      </c>
    </row>
    <row r="58" spans="1:12" x14ac:dyDescent="0.35">
      <c r="A58">
        <v>56</v>
      </c>
      <c r="C58" t="s">
        <v>39</v>
      </c>
      <c r="E58">
        <v>1</v>
      </c>
      <c r="G58">
        <v>0</v>
      </c>
      <c r="L58">
        <v>1</v>
      </c>
    </row>
    <row r="59" spans="1:12" x14ac:dyDescent="0.35">
      <c r="A59">
        <v>57</v>
      </c>
      <c r="C59" t="s">
        <v>39</v>
      </c>
      <c r="E59">
        <v>1</v>
      </c>
      <c r="G59">
        <v>0</v>
      </c>
      <c r="L59">
        <v>1</v>
      </c>
    </row>
    <row r="60" spans="1:12" x14ac:dyDescent="0.35">
      <c r="A60">
        <v>58</v>
      </c>
      <c r="C60" t="s">
        <v>33</v>
      </c>
      <c r="E60">
        <v>1</v>
      </c>
      <c r="G60">
        <v>2</v>
      </c>
      <c r="I60">
        <v>1</v>
      </c>
    </row>
    <row r="61" spans="1:12" x14ac:dyDescent="0.35">
      <c r="A61">
        <v>59</v>
      </c>
      <c r="C61" t="s">
        <v>39</v>
      </c>
      <c r="E61">
        <v>0</v>
      </c>
      <c r="G61">
        <v>1</v>
      </c>
      <c r="J61">
        <v>1</v>
      </c>
    </row>
    <row r="62" spans="1:12" x14ac:dyDescent="0.35">
      <c r="A62">
        <v>60</v>
      </c>
      <c r="C62" t="s">
        <v>33</v>
      </c>
      <c r="E62">
        <v>1</v>
      </c>
      <c r="G62">
        <v>2</v>
      </c>
      <c r="I62">
        <v>1</v>
      </c>
    </row>
    <row r="63" spans="1:12" x14ac:dyDescent="0.35">
      <c r="A63">
        <v>61</v>
      </c>
      <c r="C63" t="s">
        <v>39</v>
      </c>
      <c r="E63">
        <v>0</v>
      </c>
      <c r="G63">
        <v>-3</v>
      </c>
      <c r="J63">
        <v>1</v>
      </c>
    </row>
    <row r="64" spans="1:12" x14ac:dyDescent="0.35">
      <c r="A64">
        <v>62</v>
      </c>
      <c r="C64" t="s">
        <v>39</v>
      </c>
      <c r="E64">
        <v>0</v>
      </c>
      <c r="G64">
        <v>3</v>
      </c>
      <c r="J64">
        <v>1</v>
      </c>
    </row>
    <row r="65" spans="1:12" x14ac:dyDescent="0.35">
      <c r="A65">
        <v>63</v>
      </c>
      <c r="C65" t="s">
        <v>33</v>
      </c>
      <c r="E65">
        <v>1</v>
      </c>
      <c r="G65">
        <v>4</v>
      </c>
      <c r="I65">
        <v>1</v>
      </c>
    </row>
    <row r="66" spans="1:12" x14ac:dyDescent="0.35">
      <c r="A66">
        <v>64</v>
      </c>
      <c r="C66" t="s">
        <v>39</v>
      </c>
      <c r="E66">
        <v>0</v>
      </c>
      <c r="G66">
        <v>1</v>
      </c>
      <c r="J66">
        <v>1</v>
      </c>
    </row>
    <row r="67" spans="1:12" x14ac:dyDescent="0.35">
      <c r="A67">
        <v>65</v>
      </c>
      <c r="C67" t="s">
        <v>33</v>
      </c>
      <c r="E67">
        <v>0</v>
      </c>
      <c r="G67">
        <v>0</v>
      </c>
      <c r="K67">
        <v>1</v>
      </c>
    </row>
    <row r="68" spans="1:12" x14ac:dyDescent="0.35">
      <c r="A68">
        <v>66</v>
      </c>
      <c r="C68" t="s">
        <v>39</v>
      </c>
      <c r="E68">
        <v>1</v>
      </c>
      <c r="G68">
        <v>0</v>
      </c>
      <c r="L68">
        <v>1</v>
      </c>
    </row>
    <row r="69" spans="1:12" x14ac:dyDescent="0.35">
      <c r="A69">
        <v>67</v>
      </c>
      <c r="C69" t="s">
        <v>39</v>
      </c>
      <c r="E69">
        <v>1</v>
      </c>
      <c r="G69">
        <v>0</v>
      </c>
      <c r="L69">
        <v>1</v>
      </c>
    </row>
    <row r="70" spans="1:12" x14ac:dyDescent="0.35">
      <c r="A70">
        <v>68</v>
      </c>
      <c r="C70" t="s">
        <v>39</v>
      </c>
      <c r="E70">
        <v>0</v>
      </c>
      <c r="G70">
        <v>4</v>
      </c>
      <c r="I70">
        <v>1</v>
      </c>
    </row>
    <row r="71" spans="1:12" x14ac:dyDescent="0.35">
      <c r="A71">
        <v>69</v>
      </c>
      <c r="C71" t="s">
        <v>39</v>
      </c>
      <c r="E71">
        <v>0</v>
      </c>
      <c r="G71">
        <v>-5</v>
      </c>
      <c r="J71">
        <v>1</v>
      </c>
    </row>
    <row r="72" spans="1:12" x14ac:dyDescent="0.35">
      <c r="A72">
        <v>70</v>
      </c>
      <c r="C72" t="s">
        <v>33</v>
      </c>
      <c r="E72">
        <v>1</v>
      </c>
      <c r="G72">
        <v>3</v>
      </c>
      <c r="I72">
        <v>1</v>
      </c>
    </row>
    <row r="73" spans="1:12" x14ac:dyDescent="0.35">
      <c r="A73">
        <v>71</v>
      </c>
      <c r="C73" t="s">
        <v>39</v>
      </c>
      <c r="E73">
        <v>1</v>
      </c>
      <c r="G73">
        <v>0</v>
      </c>
      <c r="L73">
        <v>1</v>
      </c>
    </row>
    <row r="74" spans="1:12" x14ac:dyDescent="0.35">
      <c r="A74">
        <v>72</v>
      </c>
      <c r="C74" t="s">
        <v>39</v>
      </c>
      <c r="E74">
        <v>1</v>
      </c>
      <c r="G74">
        <v>0</v>
      </c>
      <c r="L74">
        <v>1</v>
      </c>
    </row>
    <row r="75" spans="1:12" x14ac:dyDescent="0.35">
      <c r="A75">
        <v>73</v>
      </c>
      <c r="C75" t="s">
        <v>39</v>
      </c>
      <c r="E75">
        <v>1</v>
      </c>
      <c r="G75">
        <v>0</v>
      </c>
      <c r="L75">
        <v>1</v>
      </c>
    </row>
    <row r="76" spans="1:12" x14ac:dyDescent="0.35">
      <c r="A76">
        <v>74</v>
      </c>
      <c r="C76" t="s">
        <v>33</v>
      </c>
      <c r="E76">
        <v>1</v>
      </c>
      <c r="G76">
        <v>2</v>
      </c>
      <c r="I76">
        <v>1</v>
      </c>
    </row>
    <row r="77" spans="1:12" x14ac:dyDescent="0.35">
      <c r="A77">
        <v>75</v>
      </c>
      <c r="C77" t="s">
        <v>33</v>
      </c>
      <c r="E77">
        <v>0</v>
      </c>
      <c r="G77">
        <v>0</v>
      </c>
      <c r="K77">
        <v>1</v>
      </c>
    </row>
    <row r="78" spans="1:12" x14ac:dyDescent="0.35">
      <c r="A78">
        <v>76</v>
      </c>
      <c r="C78" t="s">
        <v>39</v>
      </c>
      <c r="E78">
        <v>0</v>
      </c>
      <c r="G78">
        <v>-3</v>
      </c>
      <c r="J78">
        <v>1</v>
      </c>
    </row>
    <row r="79" spans="1:12" x14ac:dyDescent="0.35">
      <c r="A79">
        <v>77</v>
      </c>
      <c r="C79" t="s">
        <v>33</v>
      </c>
      <c r="E79">
        <v>0</v>
      </c>
      <c r="G79">
        <v>0</v>
      </c>
      <c r="K79">
        <v>1</v>
      </c>
    </row>
    <row r="80" spans="1:12" x14ac:dyDescent="0.35">
      <c r="A80">
        <v>78</v>
      </c>
      <c r="C80" t="s">
        <v>39</v>
      </c>
      <c r="E80">
        <v>0</v>
      </c>
      <c r="G80">
        <v>3</v>
      </c>
      <c r="I80">
        <v>1</v>
      </c>
    </row>
    <row r="81" spans="1:12" x14ac:dyDescent="0.35">
      <c r="A81">
        <v>79</v>
      </c>
      <c r="C81" t="s">
        <v>39</v>
      </c>
      <c r="E81">
        <v>1</v>
      </c>
      <c r="G81">
        <v>0</v>
      </c>
      <c r="L81">
        <v>1</v>
      </c>
    </row>
    <row r="82" spans="1:12" x14ac:dyDescent="0.35">
      <c r="A82">
        <v>80</v>
      </c>
      <c r="C82" t="s">
        <v>39</v>
      </c>
      <c r="E82">
        <v>1</v>
      </c>
      <c r="G82">
        <v>0</v>
      </c>
      <c r="L82">
        <v>1</v>
      </c>
    </row>
    <row r="83" spans="1:12" x14ac:dyDescent="0.35">
      <c r="A83">
        <v>81</v>
      </c>
      <c r="C83" t="s">
        <v>39</v>
      </c>
      <c r="E83">
        <v>0</v>
      </c>
      <c r="G83">
        <v>4</v>
      </c>
      <c r="I83">
        <v>1</v>
      </c>
    </row>
    <row r="84" spans="1:12" x14ac:dyDescent="0.35">
      <c r="A84">
        <v>82</v>
      </c>
      <c r="C84" t="s">
        <v>33</v>
      </c>
      <c r="E84">
        <v>1</v>
      </c>
      <c r="G84">
        <v>-2</v>
      </c>
      <c r="J84">
        <v>1</v>
      </c>
    </row>
    <row r="85" spans="1:12" x14ac:dyDescent="0.35">
      <c r="A85">
        <v>83</v>
      </c>
      <c r="C85" t="s">
        <v>39</v>
      </c>
      <c r="E85">
        <v>1</v>
      </c>
      <c r="G85">
        <v>0</v>
      </c>
      <c r="L85">
        <v>1</v>
      </c>
    </row>
    <row r="86" spans="1:12" x14ac:dyDescent="0.35">
      <c r="A86">
        <v>84</v>
      </c>
      <c r="C86" t="s">
        <v>39</v>
      </c>
      <c r="E86">
        <v>1</v>
      </c>
      <c r="G86">
        <v>0</v>
      </c>
      <c r="L86">
        <v>1</v>
      </c>
    </row>
    <row r="87" spans="1:12" x14ac:dyDescent="0.35">
      <c r="A87">
        <v>85</v>
      </c>
      <c r="C87" t="s">
        <v>33</v>
      </c>
      <c r="E87">
        <v>1</v>
      </c>
      <c r="G87">
        <v>-3</v>
      </c>
      <c r="I87">
        <v>1</v>
      </c>
    </row>
    <row r="88" spans="1:12" x14ac:dyDescent="0.35">
      <c r="A88">
        <v>86</v>
      </c>
      <c r="C88" t="s">
        <v>33</v>
      </c>
      <c r="E88">
        <v>1</v>
      </c>
      <c r="G88">
        <v>2</v>
      </c>
      <c r="I88">
        <v>1</v>
      </c>
    </row>
    <row r="89" spans="1:12" x14ac:dyDescent="0.35">
      <c r="A89">
        <v>87</v>
      </c>
      <c r="C89" t="s">
        <v>39</v>
      </c>
      <c r="E89">
        <v>1</v>
      </c>
      <c r="G89">
        <v>0</v>
      </c>
      <c r="L89">
        <v>1</v>
      </c>
    </row>
    <row r="90" spans="1:12" x14ac:dyDescent="0.35">
      <c r="A90">
        <v>88</v>
      </c>
      <c r="C90" t="s">
        <v>39</v>
      </c>
      <c r="E90">
        <v>0</v>
      </c>
      <c r="G90">
        <v>3</v>
      </c>
      <c r="I90">
        <v>1</v>
      </c>
    </row>
    <row r="91" spans="1:12" x14ac:dyDescent="0.35">
      <c r="A91">
        <v>89</v>
      </c>
      <c r="C91" t="s">
        <v>39</v>
      </c>
      <c r="E91">
        <v>0</v>
      </c>
      <c r="G91">
        <v>-4</v>
      </c>
      <c r="J91">
        <v>1</v>
      </c>
    </row>
    <row r="92" spans="1:12" x14ac:dyDescent="0.35">
      <c r="A92">
        <v>90</v>
      </c>
      <c r="C92" t="s">
        <v>39</v>
      </c>
      <c r="E92">
        <v>1</v>
      </c>
      <c r="G92">
        <v>0</v>
      </c>
      <c r="L92">
        <v>1</v>
      </c>
    </row>
    <row r="93" spans="1:12" x14ac:dyDescent="0.35">
      <c r="A93">
        <v>91</v>
      </c>
      <c r="C93" t="s">
        <v>39</v>
      </c>
      <c r="E93">
        <v>1</v>
      </c>
      <c r="G93">
        <v>0</v>
      </c>
      <c r="L93">
        <v>1</v>
      </c>
    </row>
    <row r="94" spans="1:12" x14ac:dyDescent="0.35">
      <c r="A94">
        <v>92</v>
      </c>
      <c r="C94" t="s">
        <v>39</v>
      </c>
      <c r="E94">
        <v>0</v>
      </c>
      <c r="G94">
        <v>3</v>
      </c>
      <c r="I94">
        <v>1</v>
      </c>
    </row>
    <row r="95" spans="1:12" x14ac:dyDescent="0.35">
      <c r="A95">
        <v>93</v>
      </c>
      <c r="C95" t="s">
        <v>39</v>
      </c>
      <c r="E95">
        <v>0</v>
      </c>
      <c r="G95">
        <v>-3</v>
      </c>
      <c r="J95">
        <v>1</v>
      </c>
    </row>
    <row r="96" spans="1:12" x14ac:dyDescent="0.35">
      <c r="A96">
        <v>94</v>
      </c>
      <c r="C96" t="s">
        <v>33</v>
      </c>
      <c r="E96">
        <v>1</v>
      </c>
      <c r="G96">
        <v>-4</v>
      </c>
      <c r="I96">
        <v>1</v>
      </c>
    </row>
    <row r="97" spans="1:12" x14ac:dyDescent="0.35">
      <c r="A97">
        <v>95</v>
      </c>
      <c r="C97" t="s">
        <v>39</v>
      </c>
      <c r="E97">
        <v>0</v>
      </c>
      <c r="G97">
        <v>-5</v>
      </c>
      <c r="J97">
        <v>1</v>
      </c>
    </row>
    <row r="98" spans="1:12" x14ac:dyDescent="0.35">
      <c r="A98">
        <v>96</v>
      </c>
      <c r="C98" t="s">
        <v>39</v>
      </c>
      <c r="E98">
        <v>1</v>
      </c>
      <c r="G98">
        <v>0</v>
      </c>
      <c r="L98">
        <v>1</v>
      </c>
    </row>
    <row r="99" spans="1:12" x14ac:dyDescent="0.35">
      <c r="A99">
        <v>97</v>
      </c>
      <c r="C99" t="s">
        <v>33</v>
      </c>
      <c r="E99">
        <v>1</v>
      </c>
      <c r="G99">
        <v>-4</v>
      </c>
      <c r="I99">
        <v>1</v>
      </c>
    </row>
    <row r="100" spans="1:12" x14ac:dyDescent="0.35">
      <c r="A100">
        <v>98</v>
      </c>
      <c r="C100" t="s">
        <v>33</v>
      </c>
      <c r="E100">
        <v>0</v>
      </c>
      <c r="G100">
        <v>0</v>
      </c>
      <c r="K100">
        <v>1</v>
      </c>
    </row>
    <row r="101" spans="1:12" x14ac:dyDescent="0.35">
      <c r="A101">
        <v>99</v>
      </c>
      <c r="C101" t="s">
        <v>39</v>
      </c>
      <c r="E101">
        <v>1</v>
      </c>
      <c r="G101">
        <v>0</v>
      </c>
      <c r="L101">
        <v>1</v>
      </c>
    </row>
    <row r="102" spans="1:12" x14ac:dyDescent="0.35">
      <c r="A102" s="1"/>
      <c r="B102" s="1"/>
      <c r="C102" s="1"/>
      <c r="D102" s="1"/>
      <c r="E102" s="1"/>
      <c r="F102" s="1"/>
      <c r="G102" s="1"/>
      <c r="H102" s="1"/>
      <c r="I102" s="1">
        <f>SUM(I9,I2,I3,I4,I5,I6,I7,I8,I10,I11,I12,I13,I14,I15,I17,I26,I28,I31,I34,I33,I35,I39,I43,I45,I46,I50,I56,I60,I62,I65,I70,I72,I76,I80,I83,I87,I88,I90,I94,I96,I99)</f>
        <v>30</v>
      </c>
      <c r="J102" s="1">
        <f>SUM(J6:J101)</f>
        <v>23</v>
      </c>
      <c r="K102" s="1">
        <f>SUM(K2:K101)</f>
        <v>17</v>
      </c>
      <c r="L102" s="1">
        <f>SUM(L3:L101)</f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965506_Tutorial 2 Signal Detect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Bhakti Bhatia</cp:lastModifiedBy>
  <dcterms:created xsi:type="dcterms:W3CDTF">2026-10-05T17:46:45Z</dcterms:created>
  <dcterms:modified xsi:type="dcterms:W3CDTF">2026-10-05T18:01:00Z</dcterms:modified>
</cp:coreProperties>
</file>